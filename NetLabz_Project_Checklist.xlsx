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NetLabz_Enterprise\"/>
    </mc:Choice>
  </mc:AlternateContent>
  <xr:revisionPtr revIDLastSave="0" documentId="13_ncr:1_{D36C65DA-6DEF-4765-8000-3E18F316CE8C}" xr6:coauthVersionLast="47" xr6:coauthVersionMax="47" xr10:uidLastSave="{00000000-0000-0000-0000-000000000000}"/>
  <bookViews>
    <workbookView xWindow="-103" yWindow="-103" windowWidth="29692" windowHeight="11829" activeTab="1" xr2:uid="{00000000-000D-0000-FFFF-FFFF00000000}"/>
  </bookViews>
  <sheets>
    <sheet name="Dashboard" sheetId="1" r:id="rId1"/>
    <sheet name="Project Checklist" sheetId="2" r:id="rId2"/>
    <sheet name="Phase Guide" sheetId="3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F33" i="1"/>
  <c r="E33" i="1"/>
  <c r="D33" i="1"/>
  <c r="G32" i="1"/>
  <c r="F32" i="1"/>
  <c r="E32" i="1"/>
  <c r="D32" i="1"/>
  <c r="G31" i="1"/>
  <c r="F31" i="1"/>
  <c r="E31" i="1"/>
  <c r="D31" i="1"/>
  <c r="G30" i="1"/>
  <c r="F30" i="1"/>
  <c r="E30" i="1"/>
  <c r="D30" i="1"/>
  <c r="G29" i="1"/>
  <c r="F29" i="1"/>
  <c r="E29" i="1"/>
  <c r="D29" i="1"/>
  <c r="G28" i="1"/>
  <c r="F28" i="1"/>
  <c r="E28" i="1"/>
  <c r="D28" i="1"/>
  <c r="G27" i="1"/>
  <c r="F27" i="1"/>
  <c r="E27" i="1"/>
  <c r="D27" i="1"/>
  <c r="G26" i="1"/>
  <c r="F26" i="1"/>
  <c r="E26" i="1"/>
  <c r="D26" i="1"/>
  <c r="G25" i="1"/>
  <c r="F25" i="1"/>
  <c r="E25" i="1"/>
  <c r="D25" i="1"/>
  <c r="G24" i="1"/>
  <c r="F24" i="1"/>
  <c r="E24" i="1"/>
  <c r="D24" i="1"/>
  <c r="G23" i="1"/>
  <c r="F23" i="1"/>
  <c r="E23" i="1"/>
  <c r="D23" i="1"/>
  <c r="G22" i="1"/>
  <c r="F22" i="1"/>
  <c r="E22" i="1"/>
  <c r="D22" i="1"/>
  <c r="G21" i="1"/>
  <c r="F21" i="1"/>
  <c r="E21" i="1"/>
  <c r="D21" i="1"/>
  <c r="G20" i="1"/>
  <c r="F20" i="1"/>
  <c r="E20" i="1"/>
  <c r="D20" i="1"/>
  <c r="G19" i="1"/>
  <c r="F19" i="1"/>
  <c r="E19" i="1"/>
  <c r="D19" i="1"/>
  <c r="G18" i="1"/>
  <c r="F18" i="1"/>
  <c r="E18" i="1"/>
  <c r="D18" i="1"/>
  <c r="G17" i="1"/>
  <c r="F17" i="1"/>
  <c r="E17" i="1"/>
  <c r="D17" i="1"/>
  <c r="G16" i="1"/>
  <c r="F16" i="1"/>
  <c r="E16" i="1"/>
  <c r="D16" i="1"/>
  <c r="G15" i="1"/>
  <c r="F15" i="1"/>
  <c r="E15" i="1"/>
  <c r="D15" i="1"/>
  <c r="G14" i="1"/>
  <c r="F14" i="1"/>
  <c r="E14" i="1"/>
  <c r="D14" i="1"/>
  <c r="G13" i="1"/>
  <c r="F13" i="1"/>
  <c r="E13" i="1"/>
  <c r="D13" i="1"/>
  <c r="B9" i="1"/>
  <c r="B8" i="1"/>
  <c r="B7" i="1"/>
  <c r="B6" i="1"/>
  <c r="B5" i="1"/>
  <c r="H29" i="1" l="1"/>
  <c r="H31" i="1"/>
  <c r="H15" i="1"/>
  <c r="H21" i="1"/>
  <c r="H24" i="1"/>
  <c r="H27" i="1"/>
  <c r="H17" i="1"/>
  <c r="H20" i="1"/>
  <c r="H23" i="1"/>
  <c r="H13" i="1"/>
  <c r="B4" i="1"/>
  <c r="H22" i="1"/>
  <c r="H16" i="1"/>
  <c r="H19" i="1"/>
  <c r="H26" i="1"/>
  <c r="H30" i="1"/>
  <c r="H33" i="1"/>
  <c r="H14" i="1"/>
  <c r="H18" i="1"/>
  <c r="H25" i="1"/>
  <c r="H32" i="1"/>
  <c r="H28" i="1"/>
</calcChain>
</file>

<file path=xl/sharedStrings.xml><?xml version="1.0" encoding="utf-8"?>
<sst xmlns="http://schemas.openxmlformats.org/spreadsheetml/2006/main" count="1749" uniqueCount="857">
  <si>
    <t>Overall Progress</t>
  </si>
  <si>
    <t>Status</t>
  </si>
  <si>
    <t>Meaning</t>
  </si>
  <si>
    <t>Total Tasks</t>
  </si>
  <si>
    <t>Not Started</t>
  </si>
  <si>
    <t>Task has not been started.</t>
  </si>
  <si>
    <t>Complete</t>
  </si>
  <si>
    <t>In Progress</t>
  </si>
  <si>
    <t>Actively working on the task.</t>
  </si>
  <si>
    <t>Blocked</t>
  </si>
  <si>
    <t>Cannot proceed until another issue is resolved.</t>
  </si>
  <si>
    <t>Task and required evidence are finished.</t>
  </si>
  <si>
    <t>Skipped</t>
  </si>
  <si>
    <t>Intentionally omitted; explain why in Notes.</t>
  </si>
  <si>
    <t>Phase #</t>
  </si>
  <si>
    <t>Phase</t>
  </si>
  <si>
    <t>Difficulty</t>
  </si>
  <si>
    <t>Total</t>
  </si>
  <si>
    <t>Progress</t>
  </si>
  <si>
    <t>Hyper-V Host Baseline &amp; GitHub</t>
  </si>
  <si>
    <t>Beginner</t>
  </si>
  <si>
    <t>Virtual Switching &amp; Isolated Test Network</t>
  </si>
  <si>
    <t>Firewall / Router VM</t>
  </si>
  <si>
    <t>Intermediate</t>
  </si>
  <si>
    <t>Windows Server DC01</t>
  </si>
  <si>
    <t>Windows Client &amp; Active Directory</t>
  </si>
  <si>
    <t>DNS &amp; DHCP Laboratory</t>
  </si>
  <si>
    <t>Multi-Subnet Routing</t>
  </si>
  <si>
    <t>Linux Server</t>
  </si>
  <si>
    <t>Docker Containers</t>
  </si>
  <si>
    <t>Firewall Policies &amp; DMZ</t>
  </si>
  <si>
    <t>VLAN Implementation</t>
  </si>
  <si>
    <t>Advanced</t>
  </si>
  <si>
    <t>IPv6</t>
  </si>
  <si>
    <t>Monitoring &amp; Logging</t>
  </si>
  <si>
    <t>PowerShell Automation</t>
  </si>
  <si>
    <t>Bash Automation</t>
  </si>
  <si>
    <t>Python Tooling</t>
  </si>
  <si>
    <t>Ansible</t>
  </si>
  <si>
    <t>Backup &amp; Disaster Recovery</t>
  </si>
  <si>
    <t>VPN</t>
  </si>
  <si>
    <t>Cloud Integration</t>
  </si>
  <si>
    <t>Full Break/Fix Exercises</t>
  </si>
  <si>
    <t>Master Project Checklist</t>
  </si>
  <si>
    <t>Task ID</t>
  </si>
  <si>
    <t>Category</t>
  </si>
  <si>
    <t>Task</t>
  </si>
  <si>
    <t>Deliverable / Evidence</t>
  </si>
  <si>
    <t>Priority</t>
  </si>
  <si>
    <t>Notes</t>
  </si>
  <si>
    <t>P00-01</t>
  </si>
  <si>
    <t>Host</t>
  </si>
  <si>
    <t>Record OptiPlex CPU, RAM, storage, NIC, Windows version, and current hostname.</t>
  </si>
  <si>
    <t>docs/host-baseline.md with command output summary</t>
  </si>
  <si>
    <t>High</t>
  </si>
  <si>
    <t>P00-02</t>
  </si>
  <si>
    <t>Verify BIOS/UEFI virtualization support and Hyper-V requirements.</t>
  </si>
  <si>
    <t>VirtualizationFirmwareEnabled confirmed; note result in baseline</t>
  </si>
  <si>
    <t>P00-03</t>
  </si>
  <si>
    <t>Hyper-V</t>
  </si>
  <si>
    <t>Verify Hyper-V feature is enabled and Hyper-V Manager opens correctly.</t>
  </si>
  <si>
    <t>Screenshot or command output documented</t>
  </si>
  <si>
    <t>P00-04</t>
  </si>
  <si>
    <t>Inventory any existing VMs and virtual switches before making changes.</t>
  </si>
  <si>
    <t>Get-VM and Get-VMSwitch results summarized</t>
  </si>
  <si>
    <t>P00-05</t>
  </si>
  <si>
    <t>Standards</t>
  </si>
  <si>
    <t>Choose/confirm Hyper-V host name (recommended HYPV01).</t>
  </si>
  <si>
    <t>Hostname recorded in naming standard</t>
  </si>
  <si>
    <t>Medium</t>
  </si>
  <si>
    <t>P00-06</t>
  </si>
  <si>
    <t>Git</t>
  </si>
  <si>
    <t>Install/verify Git and configure user.name and user.email.</t>
  </si>
  <si>
    <t>git --version and config verified</t>
  </si>
  <si>
    <t>P00-07</t>
  </si>
  <si>
    <t>Create local repository folder C:\Labs\hyperv-enterprise-lab.</t>
  </si>
  <si>
    <t>Repository folder exists</t>
  </si>
  <si>
    <t>P00-08</t>
  </si>
  <si>
    <t>Create README.md, docs, diagrams, hyper-v, scripts, and incidents structure.</t>
  </si>
  <si>
    <t>Repository tree visible in Git</t>
  </si>
  <si>
    <t>P00-09</t>
  </si>
  <si>
    <t>Security</t>
  </si>
  <si>
    <t>Create .gitignore that excludes VHD/VHDX, ISOs, secrets, logs, and packet captures as appropriate.</t>
  </si>
  <si>
    <t>Committed .gitignore</t>
  </si>
  <si>
    <t>P00-10</t>
  </si>
  <si>
    <t>Document VM, switch, server, client, and network naming conventions.</t>
  </si>
  <si>
    <t>docs/naming-standard.md</t>
  </si>
  <si>
    <t>P00-11</t>
  </si>
  <si>
    <t>Document initial IPv4 network and address allocation plan.</t>
  </si>
  <si>
    <t>docs/ip-address-plan.md</t>
  </si>
  <si>
    <t>P00-12</t>
  </si>
  <si>
    <t>Initialize Git, stage files, and create the first meaningful commit.</t>
  </si>
  <si>
    <t>Commit: Initialize Hyper-V enterprise lab repository</t>
  </si>
  <si>
    <t>P00-13</t>
  </si>
  <si>
    <t>GitHub</t>
  </si>
  <si>
    <t>Create a public GitHub repository and push the local repository.</t>
  </si>
  <si>
    <t>GitHub repository reachable and README renders</t>
  </si>
  <si>
    <t>P00-14</t>
  </si>
  <si>
    <t>Documentation</t>
  </si>
  <si>
    <t>Add project purpose, goals, hardware, and planned architecture to README.</t>
  </si>
  <si>
    <t>README explains project to an employer</t>
  </si>
  <si>
    <t>P01-01</t>
  </si>
  <si>
    <t>Concepts</t>
  </si>
  <si>
    <t>Document the difference between External, Internal, and Private Hyper-V switches.</t>
  </si>
  <si>
    <t>Short comparison in hyper-v/virtual-switches.md</t>
  </si>
  <si>
    <t>P01-02</t>
  </si>
  <si>
    <t>Create the first isolated virtual switch for lab-only communication.</t>
  </si>
  <si>
    <t>vSW-LAB or equivalent exists</t>
  </si>
  <si>
    <t>P01-03</t>
  </si>
  <si>
    <t>VM</t>
  </si>
  <si>
    <t>Create two lightweight test VMs with conservative memory allocations.</t>
  </si>
  <si>
    <t>Two test VMs boot successfully</t>
  </si>
  <si>
    <t>P01-04</t>
  </si>
  <si>
    <t>Networking</t>
  </si>
  <si>
    <t>Assign static IPv4 addresses on the same test subnet.</t>
  </si>
  <si>
    <t>Both VMs have documented addresses</t>
  </si>
  <si>
    <t>P01-05</t>
  </si>
  <si>
    <t>Testing</t>
  </si>
  <si>
    <t>Verify same-subnet connectivity with ping and ARP neighbor tables.</t>
  </si>
  <si>
    <t>Successful ICMP and ARP observations recorded</t>
  </si>
  <si>
    <t>P01-06</t>
  </si>
  <si>
    <t>Wireshark</t>
  </si>
  <si>
    <t>Capture ARP request/reply traffic and identify source/destination MAC addresses.</t>
  </si>
  <si>
    <t>Annotated screenshot or notes</t>
  </si>
  <si>
    <t>P01-07</t>
  </si>
  <si>
    <t>Capture ICMP echo request/reply and map it to OSI layers.</t>
  </si>
  <si>
    <t>Packet capture observations documented</t>
  </si>
  <si>
    <t>P01-08</t>
  </si>
  <si>
    <t>Troubleshooting</t>
  </si>
  <si>
    <t>Break connectivity with an incorrect subnet mask and diagnose before fixing it.</t>
  </si>
  <si>
    <t>Mini incident note with root cause and validation</t>
  </si>
  <si>
    <t>P01-09</t>
  </si>
  <si>
    <t>Commit the network diagram, switch configuration notes, and test results.</t>
  </si>
  <si>
    <t>Phase 1 Git commit(s)</t>
  </si>
  <si>
    <t>P02-01</t>
  </si>
  <si>
    <t>Firewall</t>
  </si>
  <si>
    <t>Select OPNsense or pfSense and document why it was chosen.</t>
  </si>
  <si>
    <t>Decision recorded in docs/firewall-design.md</t>
  </si>
  <si>
    <t>P02-02</t>
  </si>
  <si>
    <t>Create FW01 with appropriate CPU/RAM/disk and multiple virtual NICs.</t>
  </si>
  <si>
    <t>FW01 VM configuration documented</t>
  </si>
  <si>
    <t>P02-03</t>
  </si>
  <si>
    <t>Connect FW01 WAN to controlled external/home access and LAN to the isolated lab.</t>
  </si>
  <si>
    <t>WAN/LAN mapping diagram</t>
  </si>
  <si>
    <t>P02-04</t>
  </si>
  <si>
    <t>Addressing</t>
  </si>
  <si>
    <t>Gateway responds from lab host</t>
  </si>
  <si>
    <t>P02-05</t>
  </si>
  <si>
    <t>Routing</t>
  </si>
  <si>
    <t>Enable lab clients to reach their default gateway.</t>
  </si>
  <si>
    <t>Ping/traceroute validation</t>
  </si>
  <si>
    <t>P02-06</t>
  </si>
  <si>
    <t>NAT</t>
  </si>
  <si>
    <t>Configure outbound NAT so lab systems can reach the internet without direct exposure.</t>
  </si>
  <si>
    <t>Internet access works from test VM</t>
  </si>
  <si>
    <t>P02-07</t>
  </si>
  <si>
    <t>Create rules preventing lab-initiated access to protected home network ranges.</t>
  </si>
  <si>
    <t>Firewall rule screenshots/config notes</t>
  </si>
  <si>
    <t>P02-08</t>
  </si>
  <si>
    <t>Validate internet, DNS, gateway, and home-network isolation behavior.</t>
  </si>
  <si>
    <t>Connectivity matrix documented</t>
  </si>
  <si>
    <t>P02-09</t>
  </si>
  <si>
    <t>Create and repair one intentional firewall rule failure.</t>
  </si>
  <si>
    <t>Incident note showing logs and fix</t>
  </si>
  <si>
    <t>P02-10</t>
  </si>
  <si>
    <t>Commit sanitized firewall architecture and rule documentation.</t>
  </si>
  <si>
    <t>Phase 2 Git commit(s)</t>
  </si>
  <si>
    <t>P03-01</t>
  </si>
  <si>
    <t>Windows Server</t>
  </si>
  <si>
    <t>Download a Windows Server evaluation ISO and record the source/version.</t>
  </si>
  <si>
    <t>ISO source and version documented; ISO excluded from Git</t>
  </si>
  <si>
    <t>P03-02</t>
  </si>
  <si>
    <t>Create DC01 with conservative CPU/RAM/disk settings.</t>
  </si>
  <si>
    <t>DC01 VM build sheet</t>
  </si>
  <si>
    <t>P03-03</t>
  </si>
  <si>
    <t>Assign DC01 a static server-network address (planned 10.10.10.10).</t>
  </si>
  <si>
    <t>IP configuration documented</t>
  </si>
  <si>
    <t>P03-04</t>
  </si>
  <si>
    <t>Rename the server DC01 and install updates.</t>
  </si>
  <si>
    <t>Hostname/update state recorded</t>
  </si>
  <si>
    <t>P03-05</t>
  </si>
  <si>
    <t>AD DS</t>
  </si>
  <si>
    <t>Install Active Directory Domain Services.</t>
  </si>
  <si>
    <t>Role installation documented</t>
  </si>
  <si>
    <t>P03-06</t>
  </si>
  <si>
    <t>Create the lab forest/domain using the chosen lab domain name.</t>
  </si>
  <si>
    <t>Domain name documented</t>
  </si>
  <si>
    <t>P03-07</t>
  </si>
  <si>
    <t>DNS</t>
  </si>
  <si>
    <t>Install/verify AD-integrated DNS and inspect default zones/records.</t>
  </si>
  <si>
    <t>DNS zones and key records documented</t>
  </si>
  <si>
    <t>P03-08</t>
  </si>
  <si>
    <t>Validation</t>
  </si>
  <si>
    <t>Verify DC01 resolves itself correctly and basic AD health checks pass.</t>
  </si>
  <si>
    <t>dcdiag/DNS test results summarized</t>
  </si>
  <si>
    <t>P03-09</t>
  </si>
  <si>
    <t>Checkpoint</t>
  </si>
  <si>
    <t>Create a known-good checkpoint or backup point after core domain deployment.</t>
  </si>
  <si>
    <t>Recovery point recorded</t>
  </si>
  <si>
    <t>P03-10</t>
  </si>
  <si>
    <t>Commit the DC01 build documentation without secrets.</t>
  </si>
  <si>
    <t>Phase 3 Git commit(s)</t>
  </si>
  <si>
    <t>P04-01</t>
  </si>
  <si>
    <t>Create CLIENT01 as a Windows client VM.</t>
  </si>
  <si>
    <t>CLIENT01 build sheet</t>
  </si>
  <si>
    <t>P04-02</t>
  </si>
  <si>
    <t>Place CLIENT01 on the intended client/test network and configure DNS to use DC01.</t>
  </si>
  <si>
    <t>ipconfig output and diagram updated</t>
  </si>
  <si>
    <t>P04-03</t>
  </si>
  <si>
    <t>AD</t>
  </si>
  <si>
    <t>Join CLIENT01 to the domain.</t>
  </si>
  <si>
    <t>Domain join succeeds</t>
  </si>
  <si>
    <t>P04-04</t>
  </si>
  <si>
    <t>Create a small enterprise-style OU structure.</t>
  </si>
  <si>
    <t>OU diagram or documented hierarchy</t>
  </si>
  <si>
    <t>P04-05</t>
  </si>
  <si>
    <t>Create representative users and security groups for IT, Operations, and Accounting.</t>
  </si>
  <si>
    <t>Users/groups documented with no real personal data</t>
  </si>
  <si>
    <t>P04-06</t>
  </si>
  <si>
    <t>Test domain user logon to CLIENT01.</t>
  </si>
  <si>
    <t>Successful domain logon evidence</t>
  </si>
  <si>
    <t>P04-07</t>
  </si>
  <si>
    <t>GPO</t>
  </si>
  <si>
    <t>Create one basic GPO and verify it applies to CLIENT01.</t>
  </si>
  <si>
    <t>gpresult evidence and policy documentation</t>
  </si>
  <si>
    <t>P04-08</t>
  </si>
  <si>
    <t>Authentication</t>
  </si>
  <si>
    <t>Observe Kerberos-related logon behavior/events at a basic level.</t>
  </si>
  <si>
    <t>Relevant event IDs/notes captured</t>
  </si>
  <si>
    <t>P04-09</t>
  </si>
  <si>
    <t>Break domain access by changing client DNS, diagnose, and restore it.</t>
  </si>
  <si>
    <t>Incident note</t>
  </si>
  <si>
    <t>P04-10</t>
  </si>
  <si>
    <t>Commit AD structure, client build, and sanitized screenshots/notes.</t>
  </si>
  <si>
    <t>Phase 4 Git commit(s)</t>
  </si>
  <si>
    <t>P05-01</t>
  </si>
  <si>
    <t>Create forward lookup records and test A/AAAA/CNAME behavior as applicable.</t>
  </si>
  <si>
    <t>Record table and nslookup/Resolve-DnsName output</t>
  </si>
  <si>
    <t>P05-02</t>
  </si>
  <si>
    <t>Create and test a reverse lookup zone/PTR record.</t>
  </si>
  <si>
    <t>Reverse resolution validation</t>
  </si>
  <si>
    <t>P05-03</t>
  </si>
  <si>
    <t>Use nslookup, Resolve-DnsName, and dig from supported hosts.</t>
  </si>
  <si>
    <t>Command examples documented</t>
  </si>
  <si>
    <t>P05-04</t>
  </si>
  <si>
    <t>Capture a DNS query/response and identify transaction ID, query type, and answer.</t>
  </si>
  <si>
    <t>Annotated DNS capture notes</t>
  </si>
  <si>
    <t>P05-05</t>
  </si>
  <si>
    <t>DHCP</t>
  </si>
  <si>
    <t>Deploy DHCP on the selected server/firewall according to the design.</t>
  </si>
  <si>
    <t>DHCP service documented</t>
  </si>
  <si>
    <t>P05-06</t>
  </si>
  <si>
    <t>Create a client scope using the planned DHCP range.</t>
  </si>
  <si>
    <t>Scope configuration recorded</t>
  </si>
  <si>
    <t>P05-07</t>
  </si>
  <si>
    <t>Configure gateway and DNS options and obtain a lease from CLIENT01.</t>
  </si>
  <si>
    <t>ipconfig /all shows expected options</t>
  </si>
  <si>
    <t>P05-08</t>
  </si>
  <si>
    <t>Capture and explain DHCP DORA.</t>
  </si>
  <si>
    <t>Discover/Offer/Request/Ack evidence</t>
  </si>
  <si>
    <t>P05-09</t>
  </si>
  <si>
    <t>Test a wrong DNS server, exhausted/disabled DHCP scope, or wrong option and repair it.</t>
  </si>
  <si>
    <t>Incident report with symptoms/root cause</t>
  </si>
  <si>
    <t>P05-10</t>
  </si>
  <si>
    <t>Commit protocol captures as notes/screenshots and update network documentation.</t>
  </si>
  <si>
    <t>Phase 5 Git commit(s)</t>
  </si>
  <si>
    <t>P06-01</t>
  </si>
  <si>
    <t>Design</t>
  </si>
  <si>
    <t>Create separate Server and Client subnets using Hyper-V virtual switches/interfaces.</t>
  </si>
  <si>
    <t>Updated logical topology</t>
  </si>
  <si>
    <t>P06-02</t>
  </si>
  <si>
    <t>Add FW01 interfaces/gateways for 10.10.10.0/24 and 10.10.20.0/24.</t>
  </si>
  <si>
    <t>Interface table documented</t>
  </si>
  <si>
    <t>P06-03</t>
  </si>
  <si>
    <t>Configure hosts with the correct default gateways.</t>
  </si>
  <si>
    <t>Address plan reflects actual configuration</t>
  </si>
  <si>
    <t>P06-04</t>
  </si>
  <si>
    <t>Verify same-subnet and cross-subnet ICMP behavior.</t>
  </si>
  <si>
    <t>Connectivity matrix</t>
  </si>
  <si>
    <t>P06-05</t>
  </si>
  <si>
    <t>Tools</t>
  </si>
  <si>
    <t>Use tracert/traceroute to verify the Layer 3 path.</t>
  </si>
  <si>
    <t>Traceroute examples documented</t>
  </si>
  <si>
    <t>P06-06</t>
  </si>
  <si>
    <t>Explicitly allow only required initial inter-subnet traffic.</t>
  </si>
  <si>
    <t>Firewall policy table</t>
  </si>
  <si>
    <t>P06-07</t>
  </si>
  <si>
    <t>Capture traffic before and after routing and explain MAC/IP changes across hops.</t>
  </si>
  <si>
    <t>Packet-flow diagram</t>
  </si>
  <si>
    <t>P06-08</t>
  </si>
  <si>
    <t>Introduce an incorrect gateway or missing route and diagnose it.</t>
  </si>
  <si>
    <t>Incident report</t>
  </si>
  <si>
    <t>P06-09</t>
  </si>
  <si>
    <t>Packet Tracer</t>
  </si>
  <si>
    <t>Recreate an equivalent routed topology in Cisco Packet Tracer.</t>
  </si>
  <si>
    <t>Packet Tracer file/screenshot referenced</t>
  </si>
  <si>
    <t>P06-10</t>
  </si>
  <si>
    <t>Commit routing diagrams, policy table, and troubleshooting notes.</t>
  </si>
  <si>
    <t>Phase 6 Git commit(s)</t>
  </si>
  <si>
    <t>P07-01</t>
  </si>
  <si>
    <t>Create LINUX01 using Ubuntu Server or another chosen Linux distribution.</t>
  </si>
  <si>
    <t>LINUX01 build sheet</t>
  </si>
  <si>
    <t>P07-02</t>
  </si>
  <si>
    <t>Linux</t>
  </si>
  <si>
    <t>Perform package updates and document package-management commands.</t>
  </si>
  <si>
    <t>apt/dnf usage notes</t>
  </si>
  <si>
    <t>P07-03</t>
  </si>
  <si>
    <t>Configure hostname, static/dynamic networking, DNS, and default route.</t>
  </si>
  <si>
    <t>ip addr/ip route/resolvectl output summarized</t>
  </si>
  <si>
    <t>P07-04</t>
  </si>
  <si>
    <t>Create non-root admin user and practice sudo.</t>
  </si>
  <si>
    <t>User/admin procedure documented</t>
  </si>
  <si>
    <t>P07-05</t>
  </si>
  <si>
    <t>Configure and test SSH from an administrative machine.</t>
  </si>
  <si>
    <t>SSH connection succeeds</t>
  </si>
  <si>
    <t>P07-06</t>
  </si>
  <si>
    <t>Practice ip, ss, ping, traceroute, dig, curl, journalctl, and systemctl.</t>
  </si>
  <si>
    <t>Linux command cheat sheet in repo</t>
  </si>
  <si>
    <t>P07-07</t>
  </si>
  <si>
    <t>Configure the Linux firewall at a basic level and verify allowed/blocked traffic.</t>
  </si>
  <si>
    <t>Firewall rules/tests documented</t>
  </si>
  <si>
    <t>P07-08</t>
  </si>
  <si>
    <t>Capture SSH/TCP session setup and explain what remains visible despite encryption.</t>
  </si>
  <si>
    <t>Capture observations</t>
  </si>
  <si>
    <t>P07-09</t>
  </si>
  <si>
    <t>Break DNS, route, service, or firewall configuration and recover it.</t>
  </si>
  <si>
    <t>Linux incident report</t>
  </si>
  <si>
    <t>P07-10</t>
  </si>
  <si>
    <t>Commit Linux build and administration notes.</t>
  </si>
  <si>
    <t>Phase 7 Git commit(s)</t>
  </si>
  <si>
    <t>P08-01</t>
  </si>
  <si>
    <t>Document VM vs container differences: kernel, isolation, portability, resource use.</t>
  </si>
  <si>
    <t>containers/README.md comparison</t>
  </si>
  <si>
    <t>P08-02</t>
  </si>
  <si>
    <t>Docker</t>
  </si>
  <si>
    <t>Install Docker Engine on LINUX01 or dedicated DOCKER01.</t>
  </si>
  <si>
    <t>Installation steps documented</t>
  </si>
  <si>
    <t>P08-03</t>
  </si>
  <si>
    <t>Run a simple container and inspect image/container lifecycle.</t>
  </si>
  <si>
    <t>docker ps/images/inspect notes</t>
  </si>
  <si>
    <t>P08-04</t>
  </si>
  <si>
    <t>Map a container port and access the service across the lab network.</t>
  </si>
  <si>
    <t>Reachable test application</t>
  </si>
  <si>
    <t>P08-05</t>
  </si>
  <si>
    <t>Create a persistent volume and prove data survives container recreation.</t>
  </si>
  <si>
    <t>Persistence test documented</t>
  </si>
  <si>
    <t>P08-06</t>
  </si>
  <si>
    <t>Create a custom Docker network and inspect container addressing.</t>
  </si>
  <si>
    <t>Network inspection notes</t>
  </si>
  <si>
    <t>P08-07</t>
  </si>
  <si>
    <t>Compose</t>
  </si>
  <si>
    <t>Deploy a multi-container application with Docker Compose.</t>
  </si>
  <si>
    <t>compose.yaml committed</t>
  </si>
  <si>
    <t>P08-08</t>
  </si>
  <si>
    <t>Keep secrets out of Git and demonstrate use of environment/example configuration.</t>
  </si>
  <si>
    <t>Sanitized .env.example or documentation</t>
  </si>
  <si>
    <t>P08-09</t>
  </si>
  <si>
    <t>Break a port mapping, container network, or volume and repair it.</t>
  </si>
  <si>
    <t>Container incident report</t>
  </si>
  <si>
    <t>P08-10</t>
  </si>
  <si>
    <t>Commit Docker/Compose configuration and diagrams.</t>
  </si>
  <si>
    <t>Phase 8 Git commit(s)</t>
  </si>
  <si>
    <t>P09-01</t>
  </si>
  <si>
    <t>Create the DMZ subnet 10.10.30.0/24 and document its purpose/trust boundary.</t>
  </si>
  <si>
    <t>DMZ architecture diagram</t>
  </si>
  <si>
    <t>P09-02</t>
  </si>
  <si>
    <t>Attach a DMZ interface/network to FW01.</t>
  </si>
  <si>
    <t>FW01 interface table updated</t>
  </si>
  <si>
    <t>P09-03</t>
  </si>
  <si>
    <t>Service</t>
  </si>
  <si>
    <t>Place a test web/container service in the DMZ.</t>
  </si>
  <si>
    <t>Service reachable according to policy</t>
  </si>
  <si>
    <t>P09-04</t>
  </si>
  <si>
    <t>Create explicit Client→DMZ, Server→DMZ, DMZ→Server, and DMZ→Internet policies.</t>
  </si>
  <si>
    <t>Firewall matrix</t>
  </si>
  <si>
    <t>P09-05</t>
  </si>
  <si>
    <t>Apply default-deny/least-privilege logic between trust zones.</t>
  </si>
  <si>
    <t>Policy rationale documented</t>
  </si>
  <si>
    <t>P09-06</t>
  </si>
  <si>
    <t>Validate both allowed and denied flows with Test-NetConnection/curl/nc.</t>
  </si>
  <si>
    <t>P09-07</t>
  </si>
  <si>
    <t>Logging</t>
  </si>
  <si>
    <t>Use firewall logs to confirm why a blocked flow was denied.</t>
  </si>
  <si>
    <t>Log evidence documented</t>
  </si>
  <si>
    <t>P09-08</t>
  </si>
  <si>
    <t>Capture an allowed TCP connection and a blocked/failed connection.</t>
  </si>
  <si>
    <t>Packet comparison notes</t>
  </si>
  <si>
    <t>P09-09</t>
  </si>
  <si>
    <t>Create an INC ticket for an incorrect DMZ firewall rule and resolve it.</t>
  </si>
  <si>
    <t>P09-10</t>
  </si>
  <si>
    <t>Commit DMZ topology and sanitized firewall policies.</t>
  </si>
  <si>
    <t>Phase 9 Git commit(s)</t>
  </si>
  <si>
    <t>P10-01</t>
  </si>
  <si>
    <t>Document access ports, trunk ports, VLAN IDs, native/untagged traffic, and 802.1Q.</t>
  </si>
  <si>
    <t>VLAN concepts note</t>
  </si>
  <si>
    <t>P10-02</t>
  </si>
  <si>
    <t>Assign VLAN IDs to Server, Client, DMZ, Management, and future networks.</t>
  </si>
  <si>
    <t>VLAN table</t>
  </si>
  <si>
    <t>P10-03</t>
  </si>
  <si>
    <t>Design how VLAN tagging will be represented in Hyper-V.</t>
  </si>
  <si>
    <t>Updated switch/NIC diagram</t>
  </si>
  <si>
    <t>P10-04</t>
  </si>
  <si>
    <t>Implement VLAN tagging on selected virtual NICs/switch paths.</t>
  </si>
  <si>
    <t>VLAN config documented</t>
  </si>
  <si>
    <t>P10-05</t>
  </si>
  <si>
    <t>Create VLAN interfaces/subinterfaces on FW01 as required.</t>
  </si>
  <si>
    <t>Interface table</t>
  </si>
  <si>
    <t>P10-06</t>
  </si>
  <si>
    <t>Verify same-VLAN connectivity and inter-VLAN routing.</t>
  </si>
  <si>
    <t>Test matrix</t>
  </si>
  <si>
    <t>P10-07</t>
  </si>
  <si>
    <t>Create a VLAN ID mismatch and diagnose the resulting isolation.</t>
  </si>
  <si>
    <t>P10-08</t>
  </si>
  <si>
    <t>Build a matching Cisco switch/router VLAN + trunk lab.</t>
  </si>
  <si>
    <t>Packet Tracer artifact referenced</t>
  </si>
  <si>
    <t>P10-09</t>
  </si>
  <si>
    <t>Observe 802.1Q tags where the capture point exposes them.</t>
  </si>
  <si>
    <t>Capture note or explanation if tags are offloaded/hidden</t>
  </si>
  <si>
    <t>P10-10</t>
  </si>
  <si>
    <t>Hardware</t>
  </si>
  <si>
    <t>Decide whether a managed switch/second NIC is now justified; document the decision.</t>
  </si>
  <si>
    <t>Hardware decision record</t>
  </si>
  <si>
    <t>P10-11</t>
  </si>
  <si>
    <t>Commit VLAN plan, configs, diagrams, and troubleshooting notes.</t>
  </si>
  <si>
    <t>Phase 10 Git commit(s)</t>
  </si>
  <si>
    <t>P11-01</t>
  </si>
  <si>
    <t>Review IPv6 notation, prefix length, link-local, global unicast, multicast, and SLAAC concepts.</t>
  </si>
  <si>
    <t>IPv6 reference notes</t>
  </si>
  <si>
    <t>P11-02</t>
  </si>
  <si>
    <t>Create an IPv6 lab addressing plan without using production/home prefixes.</t>
  </si>
  <si>
    <t>docs/ipv6-address-plan.md</t>
  </si>
  <si>
    <t>P11-03</t>
  </si>
  <si>
    <t>Enable IPv6 on selected lab networks and verify link-local communication.</t>
  </si>
  <si>
    <t>ipconfig/ip addr evidence</t>
  </si>
  <si>
    <t>P11-04</t>
  </si>
  <si>
    <t>Configure IPv6 routing across at least two lab networks.</t>
  </si>
  <si>
    <t>Cross-subnet IPv6 test</t>
  </si>
  <si>
    <t>P11-05</t>
  </si>
  <si>
    <t>Create/test AAAA records and IPv6 name resolution.</t>
  </si>
  <si>
    <t>DNS validation</t>
  </si>
  <si>
    <t>P11-06</t>
  </si>
  <si>
    <t>Use ping -6, tracert/traceroute IPv6, and relevant neighbor commands.</t>
  </si>
  <si>
    <t>Command output documented</t>
  </si>
  <si>
    <t>P11-07</t>
  </si>
  <si>
    <t>Capture Neighbor Discovery and ICMPv6 traffic.</t>
  </si>
  <si>
    <t>NDP/ICMPv6 observations</t>
  </si>
  <si>
    <t>P11-08</t>
  </si>
  <si>
    <t>Confirm firewall policies handle IPv6 explicitly rather than assuming IPv4 rules apply.</t>
  </si>
  <si>
    <t>IPv6 rule review</t>
  </si>
  <si>
    <t>P11-09</t>
  </si>
  <si>
    <t>Break an IPv6 prefix/gateway/DNS setting and diagnose it.</t>
  </si>
  <si>
    <t>P11-10</t>
  </si>
  <si>
    <t>Commit IPv6 plan, packet notes, and diagrams.</t>
  </si>
  <si>
    <t>Phase 11 Git commit(s)</t>
  </si>
  <si>
    <t>P12-01</t>
  </si>
  <si>
    <t>Define what must be monitored: host, VMs, firewall, Windows, Linux, containers, network services.</t>
  </si>
  <si>
    <t>Monitoring requirements document</t>
  </si>
  <si>
    <t>P12-02</t>
  </si>
  <si>
    <t>Monitoring</t>
  </si>
  <si>
    <t>Deploy MON01 or a lightweight monitoring/logging stack appropriate to RAM limits.</t>
  </si>
  <si>
    <t>MON01 build/config documentation</t>
  </si>
  <si>
    <t>P12-03</t>
  </si>
  <si>
    <t>Windows</t>
  </si>
  <si>
    <t>Forward or centralize selected Windows events/logs.</t>
  </si>
  <si>
    <t>Windows log visibility demonstrated</t>
  </si>
  <si>
    <t>P12-04</t>
  </si>
  <si>
    <t>Forward syslog/journal data or expose health metrics from Linux.</t>
  </si>
  <si>
    <t>Linux visibility demonstrated</t>
  </si>
  <si>
    <t>P12-05</t>
  </si>
  <si>
    <t>Send or inspect FW01 logs centrally where feasible.</t>
  </si>
  <si>
    <t>Firewall events visible</t>
  </si>
  <si>
    <t>P12-06</t>
  </si>
  <si>
    <t>Containers</t>
  </si>
  <si>
    <t>Monitor basic container status/resource/service health.</t>
  </si>
  <si>
    <t>Container health view</t>
  </si>
  <si>
    <t>P12-07</t>
  </si>
  <si>
    <t>Network</t>
  </si>
  <si>
    <t>Create checks for DNS, HTTP/HTTPS, ICMP, and selected TCP ports.</t>
  </si>
  <si>
    <t>Service checks documented</t>
  </si>
  <si>
    <t>P12-08</t>
  </si>
  <si>
    <t>Alerting</t>
  </si>
  <si>
    <t>Create at least one useful alert or failure indication.</t>
  </si>
  <si>
    <t>Alert screenshot/record</t>
  </si>
  <si>
    <t>P12-09</t>
  </si>
  <si>
    <t>Failure Test</t>
  </si>
  <si>
    <t>Stop a service and confirm monitoring detects the outage and recovery.</t>
  </si>
  <si>
    <t>Outage timeline documented</t>
  </si>
  <si>
    <t>P12-10</t>
  </si>
  <si>
    <t>Commit monitoring architecture, configs that are safe to publish, and screenshots.</t>
  </si>
  <si>
    <t>Phase 12 Git commit(s)</t>
  </si>
  <si>
    <t>P13-01</t>
  </si>
  <si>
    <t>PowerShell</t>
  </si>
  <si>
    <t>Create a scripts/powershell README with purpose and execution requirements.</t>
  </si>
  <si>
    <t>Script catalog</t>
  </si>
  <si>
    <t>P13-02</t>
  </si>
  <si>
    <t>Write a Hyper-V inventory script for VMs, switches, CPU, memory, and state.</t>
  </si>
  <si>
    <t>Reusable .ps1 committed</t>
  </si>
  <si>
    <t>P13-03</t>
  </si>
  <si>
    <t>Write a network health-check script using Test-Connection/Test-NetConnection/Resolve-DnsName.</t>
  </si>
  <si>
    <t>Health-check .ps1 committed</t>
  </si>
  <si>
    <t>P13-04</t>
  </si>
  <si>
    <t>Write an AD inventory/reporting script for users, groups, computers, or OUs.</t>
  </si>
  <si>
    <t>AD reporting script</t>
  </si>
  <si>
    <t>P13-05</t>
  </si>
  <si>
    <t>Export script results to CSV or structured output.</t>
  </si>
  <si>
    <t>Sample sanitized output</t>
  </si>
  <si>
    <t>P13-06</t>
  </si>
  <si>
    <t>Add parameters, validation, comments/help, and useful error handling to at least one script.</t>
  </si>
  <si>
    <t>Improved script quality evidence</t>
  </si>
  <si>
    <t>P13-07</t>
  </si>
  <si>
    <t>Develop one script on a feature branch and merge it into main.</t>
  </si>
  <si>
    <t>Branch/merge history visible</t>
  </si>
  <si>
    <t>P13-08</t>
  </si>
  <si>
    <t>Test scripts against expected success and failure conditions.</t>
  </si>
  <si>
    <t>Test notes</t>
  </si>
  <si>
    <t>P13-09</t>
  </si>
  <si>
    <t>Add usage examples to README without hard-coded secrets or personal paths.</t>
  </si>
  <si>
    <t>Documented examples</t>
  </si>
  <si>
    <t>P13-10</t>
  </si>
  <si>
    <t>Tag or mark a Phase 13 milestone release/commit.</t>
  </si>
  <si>
    <t>Phase 13 milestone</t>
  </si>
  <si>
    <t>P14-01</t>
  </si>
  <si>
    <t>Bash</t>
  </si>
  <si>
    <t>Create a Bash script directory README and coding conventions.</t>
  </si>
  <si>
    <t>Bash script catalog</t>
  </si>
  <si>
    <t>P14-02</t>
  </si>
  <si>
    <t>Write a Linux network health script using ping, ip, ss, dig, and curl.</t>
  </si>
  <si>
    <t>health-check.sh</t>
  </si>
  <si>
    <t>P14-03</t>
  </si>
  <si>
    <t>Write a service-status script using systemctl and journalctl.</t>
  </si>
  <si>
    <t>service-check.sh</t>
  </si>
  <si>
    <t>P14-04</t>
  </si>
  <si>
    <t>Use variables, conditionals, loops, functions, and exit codes.</t>
  </si>
  <si>
    <t>Script demonstrates core Bash structures</t>
  </si>
  <si>
    <t>P14-05</t>
  </si>
  <si>
    <t>Write output to a timestamped report/log.</t>
  </si>
  <si>
    <t>P14-06</t>
  </si>
  <si>
    <t>Schedule one safe task with cron/systemd timer.</t>
  </si>
  <si>
    <t>Scheduled task documentation</t>
  </si>
  <si>
    <t>P14-07</t>
  </si>
  <si>
    <t>Handle an unreachable host or failed service gracefully in the script.</t>
  </si>
  <si>
    <t>Error handling demonstrated</t>
  </si>
  <si>
    <t>P14-08</t>
  </si>
  <si>
    <t>Commit scripts incrementally with meaningful messages.</t>
  </si>
  <si>
    <t>Phase 14 Git history</t>
  </si>
  <si>
    <t>P15-01</t>
  </si>
  <si>
    <t>Python</t>
  </si>
  <si>
    <t>Create and use a Python virtual environment; exclude it from Git.</t>
  </si>
  <si>
    <t>venv workflow documented</t>
  </si>
  <si>
    <t>P15-02</t>
  </si>
  <si>
    <t>Build a simple subnet/IP validation or inventory utility.</t>
  </si>
  <si>
    <t>Python utility committed</t>
  </si>
  <si>
    <t>P15-03</t>
  </si>
  <si>
    <t>Build a TCP/service reachability checker using sockets or standard libraries.</t>
  </si>
  <si>
    <t>Service checker committed</t>
  </si>
  <si>
    <t>P15-04</t>
  </si>
  <si>
    <t>Parse structured data such as CSV/JSON produced by lab systems/scripts.</t>
  </si>
  <si>
    <t>Parser/report script</t>
  </si>
  <si>
    <t>P15-05</t>
  </si>
  <si>
    <t>Generate a readable infrastructure health or inventory report.</t>
  </si>
  <si>
    <t>Sample sanitized report</t>
  </si>
  <si>
    <t>P15-06</t>
  </si>
  <si>
    <t>Add argparse/input validation and exception handling.</t>
  </si>
  <si>
    <t>CLI behavior documented</t>
  </si>
  <si>
    <t>P15-07</t>
  </si>
  <si>
    <t>Create basic tests or repeatable test cases for one utility.</t>
  </si>
  <si>
    <t>Test file or documented cases</t>
  </si>
  <si>
    <t>P15-08</t>
  </si>
  <si>
    <t>Ensure scripts do not embed credentials/tokens.</t>
  </si>
  <si>
    <t>Security review complete</t>
  </si>
  <si>
    <t>P15-09</t>
  </si>
  <si>
    <t>Develop and merge the Python utility through normal Git workflow.</t>
  </si>
  <si>
    <t>Phase 15 branch/commit history</t>
  </si>
  <si>
    <t>P16-01</t>
  </si>
  <si>
    <t>Create/prepare an Ansible control node on Linux.</t>
  </si>
  <si>
    <t>Control node documented</t>
  </si>
  <si>
    <t>P16-02</t>
  </si>
  <si>
    <t>Create an inventory file for Linux and other manageable hosts.</t>
  </si>
  <si>
    <t>Sanitized inventory committed</t>
  </si>
  <si>
    <t>P16-03</t>
  </si>
  <si>
    <t>Configure SSH key authentication for Linux management.</t>
  </si>
  <si>
    <t>Key-based management works; private key excluded</t>
  </si>
  <si>
    <t>P16-04</t>
  </si>
  <si>
    <t>Run ad-hoc ping/fact-gathering commands against managed Linux nodes.</t>
  </si>
  <si>
    <t>Successful ad-hoc output</t>
  </si>
  <si>
    <t>P16-05</t>
  </si>
  <si>
    <t>Create a playbook that installs/configures a simple package or service.</t>
  </si>
  <si>
    <t>First playbook committed</t>
  </si>
  <si>
    <t>P16-06</t>
  </si>
  <si>
    <t>Use variables and templates in a playbook.</t>
  </si>
  <si>
    <t>Variable/template example</t>
  </si>
  <si>
    <t>P16-07</t>
  </si>
  <si>
    <t>Make a playbook idempotent and prove a second run reports no unnecessary changes.</t>
  </si>
  <si>
    <t>Two-run comparison</t>
  </si>
  <si>
    <t>P16-08</t>
  </si>
  <si>
    <t>Explore supported Windows management from Ansible if resources permit.</t>
  </si>
  <si>
    <t>Windows automation notes/playbook</t>
  </si>
  <si>
    <t>P16-09</t>
  </si>
  <si>
    <t>Break SSH/inventory/permissions and diagnose an Ansible failure.</t>
  </si>
  <si>
    <t>Incident/troubleshooting note</t>
  </si>
  <si>
    <t>P16-10</t>
  </si>
  <si>
    <t>Commit playbooks, roles/configs, and documentation safely.</t>
  </si>
  <si>
    <t>Phase 16 Git commit(s)</t>
  </si>
  <si>
    <t>P17-01</t>
  </si>
  <si>
    <t>Define RPO/RTO-style goals for key lab services in plain language.</t>
  </si>
  <si>
    <t>Backup/DR plan</t>
  </si>
  <si>
    <t>P17-02</t>
  </si>
  <si>
    <t>Create a backup/export strategy for critical VMs.</t>
  </si>
  <si>
    <t>Backup procedure</t>
  </si>
  <si>
    <t>P17-03</t>
  </si>
  <si>
    <t>Document safe recovery considerations for DC01 and domain services.</t>
  </si>
  <si>
    <t>AD recovery notes</t>
  </si>
  <si>
    <t>P17-04</t>
  </si>
  <si>
    <t>Back up selected Linux configuration/application data.</t>
  </si>
  <si>
    <t>Backup artifact/process</t>
  </si>
  <si>
    <t>P17-05</t>
  </si>
  <si>
    <t>Back up container configuration and persistent volumes/data.</t>
  </si>
  <si>
    <t>Container backup procedure</t>
  </si>
  <si>
    <t>P17-06</t>
  </si>
  <si>
    <t>Configuration</t>
  </si>
  <si>
    <t>Store infrastructure documentation/scripts/configs in Git as the configuration record.</t>
  </si>
  <si>
    <t>Repo reflects current state</t>
  </si>
  <si>
    <t>P17-07</t>
  </si>
  <si>
    <t>Recovery</t>
  </si>
  <si>
    <t>Delete/disable a noncritical test service and restore it from backup/configuration.</t>
  </si>
  <si>
    <t>Successful recovery evidence</t>
  </si>
  <si>
    <t>P17-08</t>
  </si>
  <si>
    <t>Restore a test VM or exported copy and validate networking/services.</t>
  </si>
  <si>
    <t>Restore test report</t>
  </si>
  <si>
    <t>P17-09</t>
  </si>
  <si>
    <t>Document what checkpoints can and cannot replace in a real backup strategy.</t>
  </si>
  <si>
    <t>DR lessons learned</t>
  </si>
  <si>
    <t>P17-10</t>
  </si>
  <si>
    <t>Commit backup/restore runbooks and results.</t>
  </si>
  <si>
    <t>Phase 17 Git commit(s)</t>
  </si>
  <si>
    <t>P18-01</t>
  </si>
  <si>
    <t>Document site-to-site vs remote-access VPN, tunneling, encryption, and authentication concepts.</t>
  </si>
  <si>
    <t>VPN design notes</t>
  </si>
  <si>
    <t>P18-02</t>
  </si>
  <si>
    <t>Choose a safe VPN lab scenario that does not expose unnecessary services to the internet.</t>
  </si>
  <si>
    <t>VPN topology</t>
  </si>
  <si>
    <t>P18-03</t>
  </si>
  <si>
    <t>Configure the chosen VPN technology on FW01 or dedicated endpoints.</t>
  </si>
  <si>
    <t>Sanitized VPN configuration notes</t>
  </si>
  <si>
    <t>P18-04</t>
  </si>
  <si>
    <t>Configure tunnel routes/allowed networks.</t>
  </si>
  <si>
    <t>Routing table updated</t>
  </si>
  <si>
    <t>P18-05</t>
  </si>
  <si>
    <t>Apply firewall policies to VPN-originated traffic.</t>
  </si>
  <si>
    <t>VPN access policy</t>
  </si>
  <si>
    <t>P18-06</t>
  </si>
  <si>
    <t>Validate permitted services across the tunnel and confirm nonpermitted traffic is blocked.</t>
  </si>
  <si>
    <t>P18-07</t>
  </si>
  <si>
    <t>Compare traffic outside the tunnel with traffic visible after decryption at endpoints.</t>
  </si>
  <si>
    <t>VPN packet observations</t>
  </si>
  <si>
    <t>P18-08</t>
  </si>
  <si>
    <t>Break a route, key/certificate setting, or policy and diagnose the tunnel failure.</t>
  </si>
  <si>
    <t>P18-09</t>
  </si>
  <si>
    <t>Commit VPN diagrams, sanitized configs, and troubleshooting notes.</t>
  </si>
  <si>
    <t>Phase 18 Git commit(s)</t>
  </si>
  <si>
    <t>P19-01</t>
  </si>
  <si>
    <t>Cloud</t>
  </si>
  <si>
    <t>Create an Azure learning/subscription plan with spending controls before deploying resources.</t>
  </si>
  <si>
    <t>Budget/safety notes</t>
  </si>
  <si>
    <t>P19-02</t>
  </si>
  <si>
    <t>Create a cloud virtual network and subnets mirroring selected on-prem lab concepts.</t>
  </si>
  <si>
    <t>Cloud network diagram</t>
  </si>
  <si>
    <t>P19-03</t>
  </si>
  <si>
    <t>Deploy a small test VM or service with minimal cost/resource sizing.</t>
  </si>
  <si>
    <t>Cloud workload documented</t>
  </si>
  <si>
    <t>P19-04</t>
  </si>
  <si>
    <t>Configure network security rules and compare them with FW01 firewall concepts.</t>
  </si>
  <si>
    <t>NSG/firewall comparison note</t>
  </si>
  <si>
    <t>P19-05</t>
  </si>
  <si>
    <t>Practice cloud DNS/private addressing/name resolution concepts.</t>
  </si>
  <si>
    <t>DNS test documentation</t>
  </si>
  <si>
    <t>P19-06</t>
  </si>
  <si>
    <t>Identity</t>
  </si>
  <si>
    <t>Explore Entra ID/cloud identity concepts and compare with on-prem AD DS.</t>
  </si>
  <si>
    <t>Identity comparison note</t>
  </si>
  <si>
    <t>P19-07</t>
  </si>
  <si>
    <t>Hybrid</t>
  </si>
  <si>
    <t>Design or implement a safe hybrid connection concept (VPN if feasible).</t>
  </si>
  <si>
    <t>Hybrid topology/evidence</t>
  </si>
  <si>
    <t>P19-08</t>
  </si>
  <si>
    <t>Explore cloud monitoring/logging for the deployed workload.</t>
  </si>
  <si>
    <t>Monitoring evidence</t>
  </si>
  <si>
    <t>P19-09</t>
  </si>
  <si>
    <t>Automation</t>
  </si>
  <si>
    <t>Use PowerShell, CLI, or later IaC concepts to query/deploy at least one cloud resource.</t>
  </si>
  <si>
    <t>Automation artifact</t>
  </si>
  <si>
    <t>P19-10</t>
  </si>
  <si>
    <t>Cost</t>
  </si>
  <si>
    <t>Remove temporary resources and verify no unnecessary billable resources remain.</t>
  </si>
  <si>
    <t>Cleanup checklist complete</t>
  </si>
  <si>
    <t>P19-11</t>
  </si>
  <si>
    <t>Commit cloud architecture, sanitized commands/configs, and lessons learned.</t>
  </si>
  <si>
    <t>Phase 19 Git commit(s)</t>
  </si>
  <si>
    <t>P20-01</t>
  </si>
  <si>
    <t>Incident</t>
  </si>
  <si>
    <t>DNS failure: client points to wrong DNS server; diagnose with resolver tools and packet capture.</t>
  </si>
  <si>
    <t>INC-001 report</t>
  </si>
  <si>
    <t>P20-02</t>
  </si>
  <si>
    <t>DHCP failure: incorrect/disabled scope or wrong option; identify lease symptoms and repair.</t>
  </si>
  <si>
    <t>INC-002 report</t>
  </si>
  <si>
    <t>P20-03</t>
  </si>
  <si>
    <t>Routing failure: incorrect gateway/missing route; use traceroute and route tables to repair.</t>
  </si>
  <si>
    <t>INC-003 report</t>
  </si>
  <si>
    <t>P20-04</t>
  </si>
  <si>
    <t>Firewall failure: required TCP service blocked between zones; use logs and Test-NetConnection/curl.</t>
  </si>
  <si>
    <t>INC-004 report</t>
  </si>
  <si>
    <t>P20-05</t>
  </si>
  <si>
    <t>AD failure: client cannot authenticate because of DNS/time/service issue; isolate root cause.</t>
  </si>
  <si>
    <t>INC-005 report</t>
  </si>
  <si>
    <t>P20-06</t>
  </si>
  <si>
    <t>Linux service failure: application stopped or firewall blocks port; use systemctl/journalctl/ss.</t>
  </si>
  <si>
    <t>INC-006 report</t>
  </si>
  <si>
    <t>P20-07</t>
  </si>
  <si>
    <t>Container failure: wrong port/volume/network; inspect Docker state and restore service.</t>
  </si>
  <si>
    <t>INC-007 report</t>
  </si>
  <si>
    <t>P20-08</t>
  </si>
  <si>
    <t>VLAN failure: mismatched VLAN/tagging configuration; trace Layer 2 symptoms.</t>
  </si>
  <si>
    <t>INC-008 report</t>
  </si>
  <si>
    <t>P20-09</t>
  </si>
  <si>
    <t>Monitoring failure: deliberately stop a service and confirm alert/detection/recovery timeline.</t>
  </si>
  <si>
    <t>INC-009 report</t>
  </si>
  <si>
    <t>P20-10</t>
  </si>
  <si>
    <t>Backup recovery: restore a failed test workload and validate service dependencies.</t>
  </si>
  <si>
    <t>INC-010 report</t>
  </si>
  <si>
    <t>P20-11</t>
  </si>
  <si>
    <t>Capstone</t>
  </si>
  <si>
    <t>Run one multi-fault scenario containing at least three simultaneous issues without prewritten answers.</t>
  </si>
  <si>
    <t>Capstone incident report</t>
  </si>
  <si>
    <t>P20-12</t>
  </si>
  <si>
    <t>Portfolio</t>
  </si>
  <si>
    <t>Create a polished final architecture diagram showing physical, logical, security, and cloud boundaries.</t>
  </si>
  <si>
    <t>Final diagram committed</t>
  </si>
  <si>
    <t>P20-13</t>
  </si>
  <si>
    <t>Rewrite root README as a recruiter-friendly project case study with skills, architecture, screenshots, and lessons learned.</t>
  </si>
  <si>
    <t>Final README</t>
  </si>
  <si>
    <t>P20-14</t>
  </si>
  <si>
    <t>Review repository for secrets, stale files, poor commit messages, and unclear documentation.</t>
  </si>
  <si>
    <t>Security/quality review complete</t>
  </si>
  <si>
    <t>P20-15</t>
  </si>
  <si>
    <t>Create a final release/tag marking the completed portfolio version.</t>
  </si>
  <si>
    <t>v1.0 or equivalent</t>
  </si>
  <si>
    <t>Phase Guide</t>
  </si>
  <si>
    <t>Move forward when the exit criteria are met—not merely when the software is installed. Every phase should leave behind documentation and version-controlled evidence.</t>
  </si>
  <si>
    <t>Objective</t>
  </si>
  <si>
    <t>Prerequisite</t>
  </si>
  <si>
    <t>Exit Criteria</t>
  </si>
  <si>
    <t>Establish the host, documentation standards, repository, and lab conventions.</t>
  </si>
  <si>
    <t>None</t>
  </si>
  <si>
    <t>Host baseline and standards are documented; public GitHub repo exists; first clean commit is pushed.</t>
  </si>
  <si>
    <t>Build the first safe virtual network and observe basic packet behavior.</t>
  </si>
  <si>
    <t>Phase 0</t>
  </si>
  <si>
    <t>Two isolated VMs communicate; ARP/ICMP behavior is captured; one basic network fault is diagnosed.</t>
  </si>
  <si>
    <t>Create the lab edge and safely separate lab networks from the home network.</t>
  </si>
  <si>
    <t>Phase 1</t>
  </si>
  <si>
    <t>FW01 provides controlled lab internet access while protecting the home network; firewall behavior is documented.</t>
  </si>
  <si>
    <t>Deploy the first Windows Server and establish the core domain infrastructure.</t>
  </si>
  <si>
    <t>Phase 2</t>
  </si>
  <si>
    <t>DC01 is a healthy domain controller with AD-integrated DNS and a documented known-good recovery point.</t>
  </si>
  <si>
    <t>Join a client to the domain and validate authentication, policy, and administration.</t>
  </si>
  <si>
    <t>Phase 3</t>
  </si>
  <si>
    <t>CLIENT01 joins the domain, domain logon works, OUs/users/groups exist, and at least one GPO applies correctly.</t>
  </si>
  <si>
    <t>Understand, test, break, capture, and repair core naming and address services.</t>
  </si>
  <si>
    <t>Phase 4</t>
  </si>
  <si>
    <t>DNS and DHCP work end-to-end; DORA and DNS traffic are captured; at least one core-service failure is repaired.</t>
  </si>
  <si>
    <t>Route traffic between server, client, and other lab networks with controlled policies.</t>
  </si>
  <si>
    <t>Phase 5</t>
  </si>
  <si>
    <t>Server and client networks route through FW01 with explicit policies; path and packet behavior are documented.</t>
  </si>
  <si>
    <t>Build Linux administration and networking fundamentals inside the same enterprise lab.</t>
  </si>
  <si>
    <t>Phase 6</t>
  </si>
  <si>
    <t>LINUX01 is manageable by SSH, core networking tools are practiced, and a Linux fault is diagnosed/repaired.</t>
  </si>
  <si>
    <t>Learn container fundamentals and deploy services on a Linux Docker host.</t>
  </si>
  <si>
    <t>Phase 7</t>
  </si>
  <si>
    <t>A Docker host runs persistent and networked containers; Compose is used; secrets are excluded from Git.</t>
  </si>
  <si>
    <t>Create a DMZ and enforce least-privilege traffic flows.</t>
  </si>
  <si>
    <t>Phase 8</t>
  </si>
  <si>
    <t>A DMZ exists with least-privilege rules; allowed/denied flows are tested and logged.</t>
  </si>
  <si>
    <t>Move from separate virtual networks to VLAN-based segmentation and tagging.</t>
  </si>
  <si>
    <t>Phase 9</t>
  </si>
  <si>
    <t>VLAN segmentation and inter-VLAN routing work in the lab; an equivalent Cisco Packet Tracer lab is documented.</t>
  </si>
  <si>
    <t>Add IPv6 addressing, routing, DNS, and troubleshooting alongside IPv4.</t>
  </si>
  <si>
    <t>Phase 10</t>
  </si>
  <si>
    <t>IPv6 works across selected lab networks; DNS, NDP/ICMPv6, routing, and firewall behavior are validated.</t>
  </si>
  <si>
    <t>Centralize infrastructure visibility, logs, health checks, and basic alerting.</t>
  </si>
  <si>
    <t>Phase 11</t>
  </si>
  <si>
    <t>Core infrastructure and services can be monitored; at least one outage triggers visible detection and recovery.</t>
  </si>
  <si>
    <t>Automate Windows and Hyper-V administration using reusable scripts.</t>
  </si>
  <si>
    <t>Phase 12</t>
  </si>
  <si>
    <t>Reusable PowerShell scripts automate inventory/health/admin tasks and are developed with a real Git branch workflow.</t>
  </si>
  <si>
    <t>Automate Linux administration and operational checks with Bash.</t>
  </si>
  <si>
    <t>Phase 13</t>
  </si>
  <si>
    <t>Bash scripts perform Linux health/service checks with logging, scheduling, and error handling.</t>
  </si>
  <si>
    <t>Build simple infrastructure utilities for validation, parsing, and reporting.</t>
  </si>
  <si>
    <t>Phase 14</t>
  </si>
  <si>
    <t>Python utilities validate or report on lab infrastructure with CLI input, error handling, and basic testing.</t>
  </si>
  <si>
    <t>Introduce configuration management and repeatable multi-system administration.</t>
  </si>
  <si>
    <t>Phase 15</t>
  </si>
  <si>
    <t>Ansible manages at least one Linux service idempotently across managed hosts; inventory and playbooks are versioned.</t>
  </si>
  <si>
    <t>Protect the lab and prove that services can be restored from failure.</t>
  </si>
  <si>
    <t>Phase 16</t>
  </si>
  <si>
    <t>Critical lab services have documented backups and at least one VM/service restore has been successfully tested.</t>
  </si>
  <si>
    <t>Implement secure remote/site-style connectivity and inspect encrypted tunnel behavior.</t>
  </si>
  <si>
    <t>Phase 17</t>
  </si>
  <si>
    <t>A secure VPN scenario works with controlled routing/policy; a tunnel failure is diagnosed and documented.</t>
  </si>
  <si>
    <t>Extend the lab into Azure-style hybrid infrastructure concepts.</t>
  </si>
  <si>
    <t>Phase 18</t>
  </si>
  <si>
    <t>A small cloud environment mirrors lab networking/security concepts; costs are controlled and cleanup is verified.</t>
  </si>
  <si>
    <t>Run end-to-end incidents that combine networking, systems, security, and documentation.</t>
  </si>
  <si>
    <t>Phase 19</t>
  </si>
  <si>
    <t>Ten structured incidents plus one multi-fault capstone are completed; final architecture and recruiter-ready README are published.</t>
  </si>
  <si>
    <t>Management</t>
  </si>
  <si>
    <t>Subnet</t>
  </si>
  <si>
    <t>Gateway</t>
  </si>
  <si>
    <t>Server</t>
  </si>
  <si>
    <t>10.10.10.0/24</t>
  </si>
  <si>
    <t>10.10.10.1</t>
  </si>
  <si>
    <t>Client</t>
  </si>
  <si>
    <t>10.10.20.0/24</t>
  </si>
  <si>
    <t>10.10.20.1</t>
  </si>
  <si>
    <t>DMZ</t>
  </si>
  <si>
    <t>10.10.30.0/24</t>
  </si>
  <si>
    <t>10.10.30.1</t>
  </si>
  <si>
    <t>10.10.40.0/24</t>
  </si>
  <si>
    <t>10.10.40.1</t>
  </si>
  <si>
    <t>10.10.50.0/24</t>
  </si>
  <si>
    <t>10.10.50.1</t>
  </si>
  <si>
    <t>10.10.60.0/24</t>
  </si>
  <si>
    <t>10.10.60.1</t>
  </si>
  <si>
    <t>10.10.70.0/24</t>
  </si>
  <si>
    <t>10.10.70.1</t>
  </si>
  <si>
    <t>Address Range</t>
  </si>
  <si>
    <t>Use</t>
  </si>
  <si>
    <t>.1</t>
  </si>
  <si>
    <t>Default gateway</t>
  </si>
  <si>
    <t>.2-.9</t>
  </si>
  <si>
    <t>Network infrastructure</t>
  </si>
  <si>
    <t>.10-.29</t>
  </si>
  <si>
    <t>Servers</t>
  </si>
  <si>
    <t>.30-.49</t>
  </si>
  <si>
    <t>Management / infrastructure</t>
  </si>
  <si>
    <t>.50-.99</t>
  </si>
  <si>
    <t>Reserved / static</t>
  </si>
  <si>
    <t>.100-.199</t>
  </si>
  <si>
    <t>DHCP clients</t>
  </si>
  <si>
    <t>.200-.239</t>
  </si>
  <si>
    <t>Lab / testing</t>
  </si>
  <si>
    <t>NetLabz Enterprise  — Project Tracker</t>
  </si>
  <si>
    <t>Used AI to list file types that are common with VM's so as not to miss any, creating vulnerability.</t>
  </si>
  <si>
    <t>Created all my vswitches 1x External, 3x Internal</t>
  </si>
  <si>
    <t>Would need to install wireshark inside VM to capture arp and icmp unicast replies. Currently only captures broadcasts.</t>
  </si>
  <si>
    <t>No routing capabilities yet, so adding this section later.</t>
  </si>
  <si>
    <t>Selecting OPNSense</t>
  </si>
  <si>
    <t>Assign initial LAN gateway address 10.10.20.1/24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</si>
</sst>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2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5597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vertical="center"/>
    </xf>
    <xf numFmtId="9" fontId="0" fillId="0" borderId="0" xfId="0" applyNumberFormat="1"/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16">
    <dxf>
      <font>
        <color rgb="FF666666"/>
      </font>
      <fill>
        <patternFill patternType="solid">
          <bgColor rgb="FFE7E6E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F5597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F5597"/>
        </patternFill>
      </fill>
      <alignment horizontal="center" vertical="center" textRotation="0" wrapText="1" indent="0" justifyLastLine="0" shrinkToFit="0" readingOrder="0"/>
    </dxf>
    <dxf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ChecklistTable" displayName="ProjectChecklistTable" ref="A4:I220" totalsRowShown="0" dataDxfId="15">
  <autoFilter ref="A4:I220" xr:uid="{00000000-000C-0000-FFFF-FFFF00000000}">
    <filterColumn colId="6">
      <filters>
        <filter val="Blocked"/>
        <filter val="Not Started"/>
        <filter val="Skipped"/>
      </filters>
    </filterColumn>
  </autoFilter>
  <tableColumns count="9">
    <tableColumn id="1" xr3:uid="{00000000-0010-0000-0000-000001000000}" name="Task ID" dataDxfId="14"/>
    <tableColumn id="2" xr3:uid="{00000000-0010-0000-0000-000002000000}" name="Phase #" dataDxfId="13"/>
    <tableColumn id="3" xr3:uid="{00000000-0010-0000-0000-000003000000}" name="Phase" dataDxfId="12"/>
    <tableColumn id="4" xr3:uid="{00000000-0010-0000-0000-000004000000}" name="Category" dataDxfId="11"/>
    <tableColumn id="5" xr3:uid="{00000000-0010-0000-0000-000005000000}" name="Task" dataDxfId="10"/>
    <tableColumn id="6" xr3:uid="{00000000-0010-0000-0000-000006000000}" name="Deliverable / Evidence" dataDxfId="9"/>
    <tableColumn id="7" xr3:uid="{00000000-0010-0000-0000-000007000000}" name="Status" dataDxfId="8"/>
    <tableColumn id="8" xr3:uid="{00000000-0010-0000-0000-000008000000}" name="Priority" dataDxfId="7"/>
    <tableColumn id="9" xr3:uid="{00000000-0010-0000-0000-000009000000}" name="Notes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haseGuideTable" displayName="PhaseGuideTable" ref="A5:F26" totalsRowShown="0">
  <tableColumns count="6">
    <tableColumn id="1" xr3:uid="{00000000-0010-0000-0100-000001000000}" name="Phase #"/>
    <tableColumn id="2" xr3:uid="{00000000-0010-0000-0100-000002000000}" name="Phase"/>
    <tableColumn id="3" xr3:uid="{00000000-0010-0000-0100-000003000000}" name="Objective"/>
    <tableColumn id="4" xr3:uid="{00000000-0010-0000-0100-000004000000}" name="Prerequisite"/>
    <tableColumn id="5" xr3:uid="{00000000-0010-0000-0100-000005000000}" name="Difficulty"/>
    <tableColumn id="6" xr3:uid="{00000000-0010-0000-0100-000006000000}" name="Exit Criter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FA51D1-C4E7-4297-A332-2A07FE6908A6}" name="Table3" displayName="Table3" ref="A1:C8" totalsRowShown="0" headerRowDxfId="5">
  <autoFilter ref="A1:C8" xr:uid="{0DFA51D1-C4E7-4297-A332-2A07FE6908A6}"/>
  <tableColumns count="3">
    <tableColumn id="1" xr3:uid="{84782901-9C62-43D0-9F45-B6BDD25C78B2}" name="Network"/>
    <tableColumn id="2" xr3:uid="{78E284C6-4C5C-40F8-8982-B18280CA8876}" name="Subnet"/>
    <tableColumn id="3" xr3:uid="{28AADE5A-5FF4-45F9-B033-3175242DF160}" name="Gatewa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9B7CAB-322A-4674-B078-48D9A820176E}" name="Table4" displayName="Table4" ref="A11:B18" totalsRowShown="0" headerRowDxfId="4">
  <autoFilter ref="A11:B18" xr:uid="{A49B7CAB-322A-4674-B078-48D9A820176E}"/>
  <tableColumns count="2">
    <tableColumn id="1" xr3:uid="{E986A977-7F13-4F5C-AB41-2E2F4CECF81A}" name="Address Range"/>
    <tableColumn id="2" xr3:uid="{B5C4AA60-E5A2-49BE-B025-C6E67D3A6E67}" name="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workbookViewId="0">
      <selection activeCell="B9" sqref="B9"/>
    </sheetView>
  </sheetViews>
  <sheetFormatPr defaultRowHeight="14.15"/>
  <cols>
    <col min="1" max="1" width="18" customWidth="1"/>
    <col min="2" max="2" width="40" customWidth="1"/>
    <col min="3" max="3" width="16" customWidth="1"/>
    <col min="4" max="4" width="15" customWidth="1"/>
    <col min="5" max="5" width="40" customWidth="1"/>
    <col min="6" max="6" width="15" customWidth="1"/>
    <col min="7" max="8" width="12" customWidth="1"/>
  </cols>
  <sheetData>
    <row r="1" spans="1:8" ht="13.75" customHeight="1">
      <c r="A1" s="21" t="s">
        <v>850</v>
      </c>
      <c r="B1" s="21"/>
      <c r="C1" s="21"/>
      <c r="D1" s="21"/>
      <c r="E1" s="21"/>
      <c r="F1" s="21"/>
      <c r="G1" s="21"/>
      <c r="H1" s="21"/>
    </row>
    <row r="2" spans="1:8" ht="13.75" customHeight="1">
      <c r="A2" s="21"/>
      <c r="B2" s="21"/>
      <c r="C2" s="21"/>
      <c r="D2" s="21"/>
      <c r="E2" s="21"/>
      <c r="F2" s="21"/>
      <c r="G2" s="21"/>
      <c r="H2" s="21"/>
    </row>
    <row r="4" spans="1:8" ht="15.45">
      <c r="A4" s="2" t="s">
        <v>0</v>
      </c>
      <c r="B4" s="4">
        <f>IF(B5=0,0,B6/B5)</f>
        <v>0.12962962962962962</v>
      </c>
      <c r="D4" s="6" t="s">
        <v>1</v>
      </c>
      <c r="E4" s="6" t="s">
        <v>2</v>
      </c>
    </row>
    <row r="5" spans="1:8" ht="15.45">
      <c r="A5" s="2" t="s">
        <v>3</v>
      </c>
      <c r="B5" s="5">
        <f>COUNTA('Project Checklist'!$A$5:$A$220)</f>
        <v>216</v>
      </c>
      <c r="D5" s="1" t="s">
        <v>4</v>
      </c>
      <c r="E5" s="1" t="s">
        <v>5</v>
      </c>
    </row>
    <row r="6" spans="1:8" ht="15.45">
      <c r="A6" s="2" t="s">
        <v>6</v>
      </c>
      <c r="B6" s="5">
        <f>COUNTIF('Project Checklist'!$G$5:$G$220,"Complete")</f>
        <v>28</v>
      </c>
      <c r="D6" s="1" t="s">
        <v>7</v>
      </c>
      <c r="E6" s="1" t="s">
        <v>8</v>
      </c>
    </row>
    <row r="7" spans="1:8" ht="15.45">
      <c r="A7" s="2" t="s">
        <v>7</v>
      </c>
      <c r="B7" s="5">
        <f>COUNTIF('Project Checklist'!$G$5:$G$220,"In Progress")</f>
        <v>0</v>
      </c>
      <c r="D7" s="1" t="s">
        <v>9</v>
      </c>
      <c r="E7" s="1" t="s">
        <v>10</v>
      </c>
    </row>
    <row r="8" spans="1:8" ht="15.45">
      <c r="A8" s="2" t="s">
        <v>9</v>
      </c>
      <c r="B8" s="5">
        <f>COUNTIF('Project Checklist'!$G$5:$G$220,"Blocked")</f>
        <v>2</v>
      </c>
      <c r="D8" s="1" t="s">
        <v>6</v>
      </c>
      <c r="E8" s="1" t="s">
        <v>11</v>
      </c>
    </row>
    <row r="9" spans="1:8" ht="15.45">
      <c r="A9" s="2" t="s">
        <v>4</v>
      </c>
      <c r="B9" s="5">
        <f>COUNTIF('Project Checklist'!$G$5:$G$220,"Not Started")</f>
        <v>185</v>
      </c>
      <c r="D9" s="1" t="s">
        <v>12</v>
      </c>
      <c r="E9" s="1" t="s">
        <v>13</v>
      </c>
    </row>
    <row r="12" spans="1:8">
      <c r="A12" s="6" t="s">
        <v>14</v>
      </c>
      <c r="B12" s="6" t="s">
        <v>15</v>
      </c>
      <c r="C12" s="6" t="s">
        <v>16</v>
      </c>
      <c r="D12" s="6" t="s">
        <v>17</v>
      </c>
      <c r="E12" s="6" t="s">
        <v>6</v>
      </c>
      <c r="F12" s="6" t="s">
        <v>7</v>
      </c>
      <c r="G12" s="6" t="s">
        <v>9</v>
      </c>
      <c r="H12" s="6" t="s">
        <v>18</v>
      </c>
    </row>
    <row r="13" spans="1:8">
      <c r="A13" s="8">
        <v>0</v>
      </c>
      <c r="B13" t="s">
        <v>19</v>
      </c>
      <c r="C13" t="s">
        <v>20</v>
      </c>
      <c r="D13">
        <f>COUNTIF('Project Checklist'!$B$5:$B$220,A13)</f>
        <v>14</v>
      </c>
      <c r="E13">
        <f>COUNTIFS('Project Checklist'!$B$5:$B$220,A13,'Project Checklist'!$G$5:$G$220,"Complete")</f>
        <v>14</v>
      </c>
      <c r="F13">
        <f>COUNTIFS('Project Checklist'!$B$5:$B$220,A13,'Project Checklist'!$G$5:$G$220,"In Progress")</f>
        <v>0</v>
      </c>
      <c r="G13">
        <f>COUNTIFS('Project Checklist'!$B$5:$B$220,A13,'Project Checklist'!$G$5:$G$220,"Blocked")</f>
        <v>0</v>
      </c>
      <c r="H13" s="3">
        <f t="shared" ref="H13:H33" si="0">IF(D13=0,0,E13/D13)</f>
        <v>1</v>
      </c>
    </row>
    <row r="14" spans="1:8">
      <c r="A14" s="8">
        <v>1</v>
      </c>
      <c r="B14" t="s">
        <v>21</v>
      </c>
      <c r="C14" t="s">
        <v>20</v>
      </c>
      <c r="D14">
        <f>COUNTIF('Project Checklist'!$B$5:$B$220,A14)</f>
        <v>9</v>
      </c>
      <c r="E14">
        <f>COUNTIFS('Project Checklist'!$B$5:$B$220,A14,'Project Checklist'!$G$5:$G$220,"Complete")</f>
        <v>6</v>
      </c>
      <c r="F14">
        <f>COUNTIFS('Project Checklist'!$B$5:$B$220,A14,'Project Checklist'!$G$5:$G$220,"In Progress")</f>
        <v>0</v>
      </c>
      <c r="G14">
        <f>COUNTIFS('Project Checklist'!$B$5:$B$220,A14,'Project Checklist'!$G$5:$G$220,"Blocked")</f>
        <v>2</v>
      </c>
      <c r="H14" s="3">
        <f t="shared" si="0"/>
        <v>0.66666666666666663</v>
      </c>
    </row>
    <row r="15" spans="1:8">
      <c r="A15" s="8">
        <v>2</v>
      </c>
      <c r="B15" t="s">
        <v>22</v>
      </c>
      <c r="C15" t="s">
        <v>23</v>
      </c>
      <c r="D15">
        <f>COUNTIF('Project Checklist'!$B$5:$B$220,A15)</f>
        <v>10</v>
      </c>
      <c r="E15">
        <f>COUNTIFS('Project Checklist'!$B$5:$B$220,A15,'Project Checklist'!$G$5:$G$220,"Complete")</f>
        <v>8</v>
      </c>
      <c r="F15">
        <f>COUNTIFS('Project Checklist'!$B$5:$B$220,A15,'Project Checklist'!$G$5:$G$220,"In Progress")</f>
        <v>0</v>
      </c>
      <c r="G15">
        <f>COUNTIFS('Project Checklist'!$B$5:$B$220,A15,'Project Checklist'!$G$5:$G$220,"Blocked")</f>
        <v>0</v>
      </c>
      <c r="H15" s="3">
        <f t="shared" si="0"/>
        <v>0.8</v>
      </c>
    </row>
    <row r="16" spans="1:8">
      <c r="A16" s="8">
        <v>3</v>
      </c>
      <c r="B16" t="s">
        <v>24</v>
      </c>
      <c r="C16" t="s">
        <v>23</v>
      </c>
      <c r="D16">
        <f>COUNTIF('Project Checklist'!$B$5:$B$220,A16)</f>
        <v>10</v>
      </c>
      <c r="E16">
        <f>COUNTIFS('Project Checklist'!$B$5:$B$220,A16,'Project Checklist'!$G$5:$G$220,"Complete")</f>
        <v>0</v>
      </c>
      <c r="F16">
        <f>COUNTIFS('Project Checklist'!$B$5:$B$220,A16,'Project Checklist'!$G$5:$G$220,"In Progress")</f>
        <v>0</v>
      </c>
      <c r="G16">
        <f>COUNTIFS('Project Checklist'!$B$5:$B$220,A16,'Project Checklist'!$G$5:$G$220,"Blocked")</f>
        <v>0</v>
      </c>
      <c r="H16" s="3">
        <f t="shared" si="0"/>
        <v>0</v>
      </c>
    </row>
    <row r="17" spans="1:8">
      <c r="A17" s="8">
        <v>4</v>
      </c>
      <c r="B17" t="s">
        <v>25</v>
      </c>
      <c r="C17" t="s">
        <v>23</v>
      </c>
      <c r="D17">
        <f>COUNTIF('Project Checklist'!$B$5:$B$220,A17)</f>
        <v>10</v>
      </c>
      <c r="E17">
        <f>COUNTIFS('Project Checklist'!$B$5:$B$220,A17,'Project Checklist'!$G$5:$G$220,"Complete")</f>
        <v>0</v>
      </c>
      <c r="F17">
        <f>COUNTIFS('Project Checklist'!$B$5:$B$220,A17,'Project Checklist'!$G$5:$G$220,"In Progress")</f>
        <v>0</v>
      </c>
      <c r="G17">
        <f>COUNTIFS('Project Checklist'!$B$5:$B$220,A17,'Project Checklist'!$G$5:$G$220,"Blocked")</f>
        <v>0</v>
      </c>
      <c r="H17" s="3">
        <f t="shared" si="0"/>
        <v>0</v>
      </c>
    </row>
    <row r="18" spans="1:8">
      <c r="A18" s="8">
        <v>5</v>
      </c>
      <c r="B18" t="s">
        <v>26</v>
      </c>
      <c r="C18" t="s">
        <v>23</v>
      </c>
      <c r="D18">
        <f>COUNTIF('Project Checklist'!$B$5:$B$220,A18)</f>
        <v>10</v>
      </c>
      <c r="E18">
        <f>COUNTIFS('Project Checklist'!$B$5:$B$220,A18,'Project Checklist'!$G$5:$G$220,"Complete")</f>
        <v>0</v>
      </c>
      <c r="F18">
        <f>COUNTIFS('Project Checklist'!$B$5:$B$220,A18,'Project Checklist'!$G$5:$G$220,"In Progress")</f>
        <v>0</v>
      </c>
      <c r="G18">
        <f>COUNTIFS('Project Checklist'!$B$5:$B$220,A18,'Project Checklist'!$G$5:$G$220,"Blocked")</f>
        <v>0</v>
      </c>
      <c r="H18" s="3">
        <f t="shared" si="0"/>
        <v>0</v>
      </c>
    </row>
    <row r="19" spans="1:8">
      <c r="A19" s="8">
        <v>6</v>
      </c>
      <c r="B19" t="s">
        <v>27</v>
      </c>
      <c r="C19" t="s">
        <v>23</v>
      </c>
      <c r="D19">
        <f>COUNTIF('Project Checklist'!$B$5:$B$220,A19)</f>
        <v>10</v>
      </c>
      <c r="E19">
        <f>COUNTIFS('Project Checklist'!$B$5:$B$220,A19,'Project Checklist'!$G$5:$G$220,"Complete")</f>
        <v>0</v>
      </c>
      <c r="F19">
        <f>COUNTIFS('Project Checklist'!$B$5:$B$220,A19,'Project Checklist'!$G$5:$G$220,"In Progress")</f>
        <v>0</v>
      </c>
      <c r="G19">
        <f>COUNTIFS('Project Checklist'!$B$5:$B$220,A19,'Project Checklist'!$G$5:$G$220,"Blocked")</f>
        <v>0</v>
      </c>
      <c r="H19" s="3">
        <f t="shared" si="0"/>
        <v>0</v>
      </c>
    </row>
    <row r="20" spans="1:8">
      <c r="A20" s="8">
        <v>7</v>
      </c>
      <c r="B20" t="s">
        <v>28</v>
      </c>
      <c r="C20" t="s">
        <v>23</v>
      </c>
      <c r="D20">
        <f>COUNTIF('Project Checklist'!$B$5:$B$220,A20)</f>
        <v>10</v>
      </c>
      <c r="E20">
        <f>COUNTIFS('Project Checklist'!$B$5:$B$220,A20,'Project Checklist'!$G$5:$G$220,"Complete")</f>
        <v>0</v>
      </c>
      <c r="F20">
        <f>COUNTIFS('Project Checklist'!$B$5:$B$220,A20,'Project Checklist'!$G$5:$G$220,"In Progress")</f>
        <v>0</v>
      </c>
      <c r="G20">
        <f>COUNTIFS('Project Checklist'!$B$5:$B$220,A20,'Project Checklist'!$G$5:$G$220,"Blocked")</f>
        <v>0</v>
      </c>
      <c r="H20" s="3">
        <f t="shared" si="0"/>
        <v>0</v>
      </c>
    </row>
    <row r="21" spans="1:8">
      <c r="A21" s="8">
        <v>8</v>
      </c>
      <c r="B21" t="s">
        <v>29</v>
      </c>
      <c r="C21" t="s">
        <v>23</v>
      </c>
      <c r="D21">
        <f>COUNTIF('Project Checklist'!$B$5:$B$220,A21)</f>
        <v>10</v>
      </c>
      <c r="E21">
        <f>COUNTIFS('Project Checklist'!$B$5:$B$220,A21,'Project Checklist'!$G$5:$G$220,"Complete")</f>
        <v>0</v>
      </c>
      <c r="F21">
        <f>COUNTIFS('Project Checklist'!$B$5:$B$220,A21,'Project Checklist'!$G$5:$G$220,"In Progress")</f>
        <v>0</v>
      </c>
      <c r="G21">
        <f>COUNTIFS('Project Checklist'!$B$5:$B$220,A21,'Project Checklist'!$G$5:$G$220,"Blocked")</f>
        <v>0</v>
      </c>
      <c r="H21" s="3">
        <f t="shared" si="0"/>
        <v>0</v>
      </c>
    </row>
    <row r="22" spans="1:8">
      <c r="A22" s="8">
        <v>9</v>
      </c>
      <c r="B22" t="s">
        <v>30</v>
      </c>
      <c r="C22" t="s">
        <v>23</v>
      </c>
      <c r="D22">
        <f>COUNTIF('Project Checklist'!$B$5:$B$220,A22)</f>
        <v>10</v>
      </c>
      <c r="E22">
        <f>COUNTIFS('Project Checklist'!$B$5:$B$220,A22,'Project Checklist'!$G$5:$G$220,"Complete")</f>
        <v>0</v>
      </c>
      <c r="F22">
        <f>COUNTIFS('Project Checklist'!$B$5:$B$220,A22,'Project Checklist'!$G$5:$G$220,"In Progress")</f>
        <v>0</v>
      </c>
      <c r="G22">
        <f>COUNTIFS('Project Checklist'!$B$5:$B$220,A22,'Project Checklist'!$G$5:$G$220,"Blocked")</f>
        <v>0</v>
      </c>
      <c r="H22" s="3">
        <f t="shared" si="0"/>
        <v>0</v>
      </c>
    </row>
    <row r="23" spans="1:8">
      <c r="A23" s="8">
        <v>10</v>
      </c>
      <c r="B23" t="s">
        <v>31</v>
      </c>
      <c r="C23" t="s">
        <v>32</v>
      </c>
      <c r="D23">
        <f>COUNTIF('Project Checklist'!$B$5:$B$220,A23)</f>
        <v>11</v>
      </c>
      <c r="E23">
        <f>COUNTIFS('Project Checklist'!$B$5:$B$220,A23,'Project Checklist'!$G$5:$G$220,"Complete")</f>
        <v>0</v>
      </c>
      <c r="F23">
        <f>COUNTIFS('Project Checklist'!$B$5:$B$220,A23,'Project Checklist'!$G$5:$G$220,"In Progress")</f>
        <v>0</v>
      </c>
      <c r="G23">
        <f>COUNTIFS('Project Checklist'!$B$5:$B$220,A23,'Project Checklist'!$G$5:$G$220,"Blocked")</f>
        <v>0</v>
      </c>
      <c r="H23" s="3">
        <f t="shared" si="0"/>
        <v>0</v>
      </c>
    </row>
    <row r="24" spans="1:8">
      <c r="A24" s="8">
        <v>11</v>
      </c>
      <c r="B24" t="s">
        <v>33</v>
      </c>
      <c r="C24" t="s">
        <v>32</v>
      </c>
      <c r="D24">
        <f>COUNTIF('Project Checklist'!$B$5:$B$220,A24)</f>
        <v>10</v>
      </c>
      <c r="E24">
        <f>COUNTIFS('Project Checklist'!$B$5:$B$220,A24,'Project Checklist'!$G$5:$G$220,"Complete")</f>
        <v>0</v>
      </c>
      <c r="F24">
        <f>COUNTIFS('Project Checklist'!$B$5:$B$220,A24,'Project Checklist'!$G$5:$G$220,"In Progress")</f>
        <v>0</v>
      </c>
      <c r="G24">
        <f>COUNTIFS('Project Checklist'!$B$5:$B$220,A24,'Project Checklist'!$G$5:$G$220,"Blocked")</f>
        <v>0</v>
      </c>
      <c r="H24" s="3">
        <f t="shared" si="0"/>
        <v>0</v>
      </c>
    </row>
    <row r="25" spans="1:8">
      <c r="A25" s="8">
        <v>12</v>
      </c>
      <c r="B25" t="s">
        <v>34</v>
      </c>
      <c r="C25" t="s">
        <v>23</v>
      </c>
      <c r="D25">
        <f>COUNTIF('Project Checklist'!$B$5:$B$220,A25)</f>
        <v>10</v>
      </c>
      <c r="E25">
        <f>COUNTIFS('Project Checklist'!$B$5:$B$220,A25,'Project Checklist'!$G$5:$G$220,"Complete")</f>
        <v>0</v>
      </c>
      <c r="F25">
        <f>COUNTIFS('Project Checklist'!$B$5:$B$220,A25,'Project Checklist'!$G$5:$G$220,"In Progress")</f>
        <v>0</v>
      </c>
      <c r="G25">
        <f>COUNTIFS('Project Checklist'!$B$5:$B$220,A25,'Project Checklist'!$G$5:$G$220,"Blocked")</f>
        <v>0</v>
      </c>
      <c r="H25" s="3">
        <f t="shared" si="0"/>
        <v>0</v>
      </c>
    </row>
    <row r="26" spans="1:8">
      <c r="A26" s="8">
        <v>13</v>
      </c>
      <c r="B26" t="s">
        <v>35</v>
      </c>
      <c r="C26" t="s">
        <v>23</v>
      </c>
      <c r="D26">
        <f>COUNTIF('Project Checklist'!$B$5:$B$220,A26)</f>
        <v>10</v>
      </c>
      <c r="E26">
        <f>COUNTIFS('Project Checklist'!$B$5:$B$220,A26,'Project Checklist'!$G$5:$G$220,"Complete")</f>
        <v>0</v>
      </c>
      <c r="F26">
        <f>COUNTIFS('Project Checklist'!$B$5:$B$220,A26,'Project Checklist'!$G$5:$G$220,"In Progress")</f>
        <v>0</v>
      </c>
      <c r="G26">
        <f>COUNTIFS('Project Checklist'!$B$5:$B$220,A26,'Project Checklist'!$G$5:$G$220,"Blocked")</f>
        <v>0</v>
      </c>
      <c r="H26" s="3">
        <f t="shared" si="0"/>
        <v>0</v>
      </c>
    </row>
    <row r="27" spans="1:8">
      <c r="A27" s="8">
        <v>14</v>
      </c>
      <c r="B27" t="s">
        <v>36</v>
      </c>
      <c r="C27" t="s">
        <v>23</v>
      </c>
      <c r="D27">
        <f>COUNTIF('Project Checklist'!$B$5:$B$220,A27)</f>
        <v>8</v>
      </c>
      <c r="E27">
        <f>COUNTIFS('Project Checklist'!$B$5:$B$220,A27,'Project Checklist'!$G$5:$G$220,"Complete")</f>
        <v>0</v>
      </c>
      <c r="F27">
        <f>COUNTIFS('Project Checklist'!$B$5:$B$220,A27,'Project Checklist'!$G$5:$G$220,"In Progress")</f>
        <v>0</v>
      </c>
      <c r="G27">
        <f>COUNTIFS('Project Checklist'!$B$5:$B$220,A27,'Project Checklist'!$G$5:$G$220,"Blocked")</f>
        <v>0</v>
      </c>
      <c r="H27" s="3">
        <f t="shared" si="0"/>
        <v>0</v>
      </c>
    </row>
    <row r="28" spans="1:8">
      <c r="A28" s="8">
        <v>15</v>
      </c>
      <c r="B28" t="s">
        <v>37</v>
      </c>
      <c r="C28" t="s">
        <v>23</v>
      </c>
      <c r="D28">
        <f>COUNTIF('Project Checklist'!$B$5:$B$220,A28)</f>
        <v>9</v>
      </c>
      <c r="E28">
        <f>COUNTIFS('Project Checklist'!$B$5:$B$220,A28,'Project Checklist'!$G$5:$G$220,"Complete")</f>
        <v>0</v>
      </c>
      <c r="F28">
        <f>COUNTIFS('Project Checklist'!$B$5:$B$220,A28,'Project Checklist'!$G$5:$G$220,"In Progress")</f>
        <v>0</v>
      </c>
      <c r="G28">
        <f>COUNTIFS('Project Checklist'!$B$5:$B$220,A28,'Project Checklist'!$G$5:$G$220,"Blocked")</f>
        <v>0</v>
      </c>
      <c r="H28" s="3">
        <f t="shared" si="0"/>
        <v>0</v>
      </c>
    </row>
    <row r="29" spans="1:8">
      <c r="A29" s="8">
        <v>16</v>
      </c>
      <c r="B29" t="s">
        <v>38</v>
      </c>
      <c r="C29" t="s">
        <v>32</v>
      </c>
      <c r="D29">
        <f>COUNTIF('Project Checklist'!$B$5:$B$220,A29)</f>
        <v>10</v>
      </c>
      <c r="E29">
        <f>COUNTIFS('Project Checklist'!$B$5:$B$220,A29,'Project Checklist'!$G$5:$G$220,"Complete")</f>
        <v>0</v>
      </c>
      <c r="F29">
        <f>COUNTIFS('Project Checklist'!$B$5:$B$220,A29,'Project Checklist'!$G$5:$G$220,"In Progress")</f>
        <v>0</v>
      </c>
      <c r="G29">
        <f>COUNTIFS('Project Checklist'!$B$5:$B$220,A29,'Project Checklist'!$G$5:$G$220,"Blocked")</f>
        <v>0</v>
      </c>
      <c r="H29" s="3">
        <f t="shared" si="0"/>
        <v>0</v>
      </c>
    </row>
    <row r="30" spans="1:8">
      <c r="A30" s="8">
        <v>17</v>
      </c>
      <c r="B30" t="s">
        <v>39</v>
      </c>
      <c r="C30" t="s">
        <v>23</v>
      </c>
      <c r="D30">
        <f>COUNTIF('Project Checklist'!$B$5:$B$220,A30)</f>
        <v>10</v>
      </c>
      <c r="E30">
        <f>COUNTIFS('Project Checklist'!$B$5:$B$220,A30,'Project Checklist'!$G$5:$G$220,"Complete")</f>
        <v>0</v>
      </c>
      <c r="F30">
        <f>COUNTIFS('Project Checklist'!$B$5:$B$220,A30,'Project Checklist'!$G$5:$G$220,"In Progress")</f>
        <v>0</v>
      </c>
      <c r="G30">
        <f>COUNTIFS('Project Checklist'!$B$5:$B$220,A30,'Project Checklist'!$G$5:$G$220,"Blocked")</f>
        <v>0</v>
      </c>
      <c r="H30" s="3">
        <f t="shared" si="0"/>
        <v>0</v>
      </c>
    </row>
    <row r="31" spans="1:8">
      <c r="A31" s="8">
        <v>18</v>
      </c>
      <c r="B31" t="s">
        <v>40</v>
      </c>
      <c r="C31" t="s">
        <v>32</v>
      </c>
      <c r="D31">
        <f>COUNTIF('Project Checklist'!$B$5:$B$220,A31)</f>
        <v>9</v>
      </c>
      <c r="E31">
        <f>COUNTIFS('Project Checklist'!$B$5:$B$220,A31,'Project Checklist'!$G$5:$G$220,"Complete")</f>
        <v>0</v>
      </c>
      <c r="F31">
        <f>COUNTIFS('Project Checklist'!$B$5:$B$220,A31,'Project Checklist'!$G$5:$G$220,"In Progress")</f>
        <v>0</v>
      </c>
      <c r="G31">
        <f>COUNTIFS('Project Checklist'!$B$5:$B$220,A31,'Project Checklist'!$G$5:$G$220,"Blocked")</f>
        <v>0</v>
      </c>
      <c r="H31" s="3">
        <f t="shared" si="0"/>
        <v>0</v>
      </c>
    </row>
    <row r="32" spans="1:8">
      <c r="A32" s="8">
        <v>19</v>
      </c>
      <c r="B32" t="s">
        <v>41</v>
      </c>
      <c r="C32" t="s">
        <v>32</v>
      </c>
      <c r="D32">
        <f>COUNTIF('Project Checklist'!$B$5:$B$220,A32)</f>
        <v>11</v>
      </c>
      <c r="E32">
        <f>COUNTIFS('Project Checklist'!$B$5:$B$220,A32,'Project Checklist'!$G$5:$G$220,"Complete")</f>
        <v>0</v>
      </c>
      <c r="F32">
        <f>COUNTIFS('Project Checklist'!$B$5:$B$220,A32,'Project Checklist'!$G$5:$G$220,"In Progress")</f>
        <v>0</v>
      </c>
      <c r="G32">
        <f>COUNTIFS('Project Checklist'!$B$5:$B$220,A32,'Project Checklist'!$G$5:$G$220,"Blocked")</f>
        <v>0</v>
      </c>
      <c r="H32" s="3">
        <f t="shared" si="0"/>
        <v>0</v>
      </c>
    </row>
    <row r="33" spans="1:8">
      <c r="A33" s="8">
        <v>20</v>
      </c>
      <c r="B33" t="s">
        <v>42</v>
      </c>
      <c r="C33" t="s">
        <v>32</v>
      </c>
      <c r="D33">
        <f>COUNTIF('Project Checklist'!$B$5:$B$220,A33)</f>
        <v>15</v>
      </c>
      <c r="E33">
        <f>COUNTIFS('Project Checklist'!$B$5:$B$220,A33,'Project Checklist'!$G$5:$G$220,"Complete")</f>
        <v>0</v>
      </c>
      <c r="F33">
        <f>COUNTIFS('Project Checklist'!$B$5:$B$220,A33,'Project Checklist'!$G$5:$G$220,"In Progress")</f>
        <v>0</v>
      </c>
      <c r="G33">
        <f>COUNTIFS('Project Checklist'!$B$5:$B$220,A33,'Project Checklist'!$G$5:$G$220,"Blocked")</f>
        <v>0</v>
      </c>
      <c r="H33" s="3">
        <f t="shared" si="0"/>
        <v>0</v>
      </c>
    </row>
  </sheetData>
  <mergeCells count="1">
    <mergeCell ref="A1:H2"/>
  </mergeCells>
  <conditionalFormatting sqref="B4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conditionalFormatting sqref="H13:H33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9BE573-5479-287D-BE93-74B15E11EBFA}">
            <x14:dataBar>
              <x14:cfvo type="min"/>
              <x14:cfvo type="max"/>
              <x14:negativeFillColor auto="1"/>
              <x14:axisColor auto="1"/>
            </x14:dataBar>
          </x14:cfRule>
          <xm:sqref>B4</xm:sqref>
        </x14:conditionalFormatting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H13:H33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0"/>
  <sheetViews>
    <sheetView tabSelected="1" topLeftCell="A24" workbookViewId="0">
      <selection activeCell="F45" sqref="F45"/>
    </sheetView>
  </sheetViews>
  <sheetFormatPr defaultRowHeight="14.15"/>
  <cols>
    <col min="1" max="1" width="6.640625" bestFit="1" customWidth="1"/>
    <col min="2" max="2" width="6.42578125" customWidth="1"/>
    <col min="3" max="3" width="34.78515625" bestFit="1" customWidth="1"/>
    <col min="4" max="4" width="14.42578125" bestFit="1" customWidth="1"/>
    <col min="5" max="5" width="58" customWidth="1"/>
    <col min="6" max="6" width="47.28515625" bestFit="1" customWidth="1"/>
    <col min="7" max="7" width="10.0703125" bestFit="1" customWidth="1"/>
    <col min="8" max="8" width="7.35546875" bestFit="1" customWidth="1"/>
    <col min="9" max="9" width="40" customWidth="1"/>
  </cols>
  <sheetData>
    <row r="1" spans="1:9">
      <c r="A1" s="21" t="s">
        <v>43</v>
      </c>
      <c r="B1" s="21"/>
      <c r="C1" s="21"/>
      <c r="D1" s="21"/>
      <c r="E1" s="21"/>
      <c r="F1" s="21"/>
      <c r="G1" s="21"/>
      <c r="H1" s="21"/>
      <c r="I1" s="21"/>
    </row>
    <row r="2" spans="1:9">
      <c r="A2" s="21"/>
      <c r="B2" s="21"/>
      <c r="C2" s="21"/>
      <c r="D2" s="21"/>
      <c r="E2" s="21"/>
      <c r="F2" s="21"/>
      <c r="G2" s="21"/>
      <c r="H2" s="21"/>
      <c r="I2" s="21"/>
    </row>
    <row r="4" spans="1:9" ht="28.3">
      <c r="A4" s="6" t="s">
        <v>44</v>
      </c>
      <c r="B4" s="6" t="s">
        <v>14</v>
      </c>
      <c r="C4" s="6" t="s">
        <v>15</v>
      </c>
      <c r="D4" s="6" t="s">
        <v>45</v>
      </c>
      <c r="E4" s="6" t="s">
        <v>46</v>
      </c>
      <c r="F4" s="6" t="s">
        <v>47</v>
      </c>
      <c r="G4" s="6" t="s">
        <v>1</v>
      </c>
      <c r="H4" s="6" t="s">
        <v>48</v>
      </c>
      <c r="I4" s="6" t="s">
        <v>49</v>
      </c>
    </row>
    <row r="5" spans="1:9" ht="28.3" hidden="1">
      <c r="A5" s="9" t="s">
        <v>50</v>
      </c>
      <c r="B5" s="10">
        <v>0</v>
      </c>
      <c r="C5" s="11" t="s">
        <v>19</v>
      </c>
      <c r="D5" s="11" t="s">
        <v>51</v>
      </c>
      <c r="E5" s="11" t="s">
        <v>52</v>
      </c>
      <c r="F5" s="11" t="s">
        <v>53</v>
      </c>
      <c r="G5" s="11" t="s">
        <v>6</v>
      </c>
      <c r="H5" s="11" t="s">
        <v>54</v>
      </c>
      <c r="I5" s="12"/>
    </row>
    <row r="6" spans="1:9" ht="28.3" hidden="1">
      <c r="A6" s="13" t="s">
        <v>55</v>
      </c>
      <c r="B6" s="14">
        <v>0</v>
      </c>
      <c r="C6" s="15" t="s">
        <v>19</v>
      </c>
      <c r="D6" s="15" t="s">
        <v>51</v>
      </c>
      <c r="E6" s="15" t="s">
        <v>56</v>
      </c>
      <c r="F6" s="15" t="s">
        <v>57</v>
      </c>
      <c r="G6" s="15" t="s">
        <v>6</v>
      </c>
      <c r="H6" s="15" t="s">
        <v>54</v>
      </c>
      <c r="I6" s="16"/>
    </row>
    <row r="7" spans="1:9" ht="28.3" hidden="1">
      <c r="A7" s="13" t="s">
        <v>58</v>
      </c>
      <c r="B7" s="14">
        <v>0</v>
      </c>
      <c r="C7" s="15" t="s">
        <v>19</v>
      </c>
      <c r="D7" s="15" t="s">
        <v>59</v>
      </c>
      <c r="E7" s="15" t="s">
        <v>60</v>
      </c>
      <c r="F7" s="15" t="s">
        <v>61</v>
      </c>
      <c r="G7" s="15" t="s">
        <v>6</v>
      </c>
      <c r="H7" s="15" t="s">
        <v>54</v>
      </c>
      <c r="I7" s="16"/>
    </row>
    <row r="8" spans="1:9" ht="28.3" hidden="1">
      <c r="A8" s="13" t="s">
        <v>62</v>
      </c>
      <c r="B8" s="14">
        <v>0</v>
      </c>
      <c r="C8" s="15" t="s">
        <v>19</v>
      </c>
      <c r="D8" s="15" t="s">
        <v>59</v>
      </c>
      <c r="E8" s="15" t="s">
        <v>63</v>
      </c>
      <c r="F8" s="15" t="s">
        <v>64</v>
      </c>
      <c r="G8" s="15" t="s">
        <v>6</v>
      </c>
      <c r="H8" s="15" t="s">
        <v>54</v>
      </c>
      <c r="I8" s="16"/>
    </row>
    <row r="9" spans="1:9" hidden="1">
      <c r="A9" s="13" t="s">
        <v>65</v>
      </c>
      <c r="B9" s="14">
        <v>0</v>
      </c>
      <c r="C9" s="15" t="s">
        <v>19</v>
      </c>
      <c r="D9" s="15" t="s">
        <v>66</v>
      </c>
      <c r="E9" s="15" t="s">
        <v>67</v>
      </c>
      <c r="F9" s="15" t="s">
        <v>68</v>
      </c>
      <c r="G9" s="15" t="s">
        <v>6</v>
      </c>
      <c r="H9" s="15" t="s">
        <v>69</v>
      </c>
      <c r="I9" s="16"/>
    </row>
    <row r="10" spans="1:9" hidden="1">
      <c r="A10" s="13" t="s">
        <v>70</v>
      </c>
      <c r="B10" s="14">
        <v>0</v>
      </c>
      <c r="C10" s="15" t="s">
        <v>19</v>
      </c>
      <c r="D10" s="15" t="s">
        <v>71</v>
      </c>
      <c r="E10" s="15" t="s">
        <v>72</v>
      </c>
      <c r="F10" s="15" t="s">
        <v>73</v>
      </c>
      <c r="G10" s="15" t="s">
        <v>6</v>
      </c>
      <c r="H10" s="15" t="s">
        <v>54</v>
      </c>
      <c r="I10" s="16"/>
    </row>
    <row r="11" spans="1:9" hidden="1">
      <c r="A11" s="13" t="s">
        <v>74</v>
      </c>
      <c r="B11" s="14">
        <v>0</v>
      </c>
      <c r="C11" s="15" t="s">
        <v>19</v>
      </c>
      <c r="D11" s="15" t="s">
        <v>71</v>
      </c>
      <c r="E11" s="15" t="s">
        <v>75</v>
      </c>
      <c r="F11" s="15" t="s">
        <v>76</v>
      </c>
      <c r="G11" s="15" t="s">
        <v>6</v>
      </c>
      <c r="H11" s="15" t="s">
        <v>54</v>
      </c>
      <c r="I11" s="16"/>
    </row>
    <row r="12" spans="1:9" ht="28.3" hidden="1">
      <c r="A12" s="13" t="s">
        <v>77</v>
      </c>
      <c r="B12" s="14">
        <v>0</v>
      </c>
      <c r="C12" s="15" t="s">
        <v>19</v>
      </c>
      <c r="D12" s="15" t="s">
        <v>71</v>
      </c>
      <c r="E12" s="15" t="s">
        <v>78</v>
      </c>
      <c r="F12" s="15" t="s">
        <v>79</v>
      </c>
      <c r="G12" s="15" t="s">
        <v>6</v>
      </c>
      <c r="H12" s="15" t="s">
        <v>54</v>
      </c>
      <c r="I12" s="16"/>
    </row>
    <row r="13" spans="1:9" ht="42.45" hidden="1">
      <c r="A13" s="13" t="s">
        <v>80</v>
      </c>
      <c r="B13" s="14">
        <v>0</v>
      </c>
      <c r="C13" s="15" t="s">
        <v>19</v>
      </c>
      <c r="D13" s="15" t="s">
        <v>81</v>
      </c>
      <c r="E13" s="15" t="s">
        <v>82</v>
      </c>
      <c r="F13" s="15" t="s">
        <v>83</v>
      </c>
      <c r="G13" s="15" t="s">
        <v>6</v>
      </c>
      <c r="H13" s="15" t="s">
        <v>54</v>
      </c>
      <c r="I13" s="16" t="s">
        <v>851</v>
      </c>
    </row>
    <row r="14" spans="1:9" ht="28.3" hidden="1">
      <c r="A14" s="13" t="s">
        <v>84</v>
      </c>
      <c r="B14" s="14">
        <v>0</v>
      </c>
      <c r="C14" s="15" t="s">
        <v>19</v>
      </c>
      <c r="D14" s="15" t="s">
        <v>66</v>
      </c>
      <c r="E14" s="15" t="s">
        <v>85</v>
      </c>
      <c r="F14" s="15" t="s">
        <v>86</v>
      </c>
      <c r="G14" s="15" t="s">
        <v>6</v>
      </c>
      <c r="H14" s="15" t="s">
        <v>54</v>
      </c>
      <c r="I14" s="16"/>
    </row>
    <row r="15" spans="1:9" hidden="1">
      <c r="A15" s="13" t="s">
        <v>87</v>
      </c>
      <c r="B15" s="14">
        <v>0</v>
      </c>
      <c r="C15" s="15" t="s">
        <v>19</v>
      </c>
      <c r="D15" s="15" t="s">
        <v>66</v>
      </c>
      <c r="E15" s="15" t="s">
        <v>88</v>
      </c>
      <c r="F15" s="15" t="s">
        <v>89</v>
      </c>
      <c r="G15" s="15" t="s">
        <v>6</v>
      </c>
      <c r="H15" s="15" t="s">
        <v>54</v>
      </c>
      <c r="I15" s="16"/>
    </row>
    <row r="16" spans="1:9" hidden="1">
      <c r="A16" s="13" t="s">
        <v>90</v>
      </c>
      <c r="B16" s="14">
        <v>0</v>
      </c>
      <c r="C16" s="15" t="s">
        <v>19</v>
      </c>
      <c r="D16" s="15" t="s">
        <v>71</v>
      </c>
      <c r="E16" s="15" t="s">
        <v>91</v>
      </c>
      <c r="F16" s="15" t="s">
        <v>92</v>
      </c>
      <c r="G16" s="15" t="s">
        <v>6</v>
      </c>
      <c r="H16" s="15" t="s">
        <v>54</v>
      </c>
      <c r="I16" s="16"/>
    </row>
    <row r="17" spans="1:9" hidden="1">
      <c r="A17" s="13" t="s">
        <v>93</v>
      </c>
      <c r="B17" s="14">
        <v>0</v>
      </c>
      <c r="C17" s="15" t="s">
        <v>19</v>
      </c>
      <c r="D17" s="15" t="s">
        <v>94</v>
      </c>
      <c r="E17" s="15" t="s">
        <v>95</v>
      </c>
      <c r="F17" s="15" t="s">
        <v>96</v>
      </c>
      <c r="G17" s="15" t="s">
        <v>6</v>
      </c>
      <c r="H17" s="15" t="s">
        <v>54</v>
      </c>
      <c r="I17" s="16"/>
    </row>
    <row r="18" spans="1:9" ht="28.3" hidden="1">
      <c r="A18" s="13" t="s">
        <v>97</v>
      </c>
      <c r="B18" s="14">
        <v>0</v>
      </c>
      <c r="C18" s="15" t="s">
        <v>19</v>
      </c>
      <c r="D18" s="15" t="s">
        <v>98</v>
      </c>
      <c r="E18" s="15" t="s">
        <v>99</v>
      </c>
      <c r="F18" s="15" t="s">
        <v>100</v>
      </c>
      <c r="G18" s="15" t="s">
        <v>6</v>
      </c>
      <c r="H18" s="15" t="s">
        <v>69</v>
      </c>
      <c r="I18" s="16"/>
    </row>
    <row r="19" spans="1:9" ht="28.3" hidden="1">
      <c r="A19" s="13" t="s">
        <v>101</v>
      </c>
      <c r="B19" s="14">
        <v>1</v>
      </c>
      <c r="C19" s="15" t="s">
        <v>21</v>
      </c>
      <c r="D19" s="15" t="s">
        <v>102</v>
      </c>
      <c r="E19" s="15" t="s">
        <v>103</v>
      </c>
      <c r="F19" s="15" t="s">
        <v>104</v>
      </c>
      <c r="G19" s="15" t="s">
        <v>6</v>
      </c>
      <c r="H19" s="15" t="s">
        <v>54</v>
      </c>
      <c r="I19" s="16"/>
    </row>
    <row r="20" spans="1:9" ht="28.3" hidden="1">
      <c r="A20" s="13" t="s">
        <v>105</v>
      </c>
      <c r="B20" s="14">
        <v>1</v>
      </c>
      <c r="C20" s="15" t="s">
        <v>21</v>
      </c>
      <c r="D20" s="15" t="s">
        <v>59</v>
      </c>
      <c r="E20" s="15" t="s">
        <v>106</v>
      </c>
      <c r="F20" s="15" t="s">
        <v>107</v>
      </c>
      <c r="G20" s="15" t="s">
        <v>6</v>
      </c>
      <c r="H20" s="15" t="s">
        <v>54</v>
      </c>
      <c r="I20" s="16" t="s">
        <v>852</v>
      </c>
    </row>
    <row r="21" spans="1:9" ht="28.3" hidden="1">
      <c r="A21" s="13" t="s">
        <v>108</v>
      </c>
      <c r="B21" s="14">
        <v>1</v>
      </c>
      <c r="C21" s="15" t="s">
        <v>21</v>
      </c>
      <c r="D21" s="15" t="s">
        <v>109</v>
      </c>
      <c r="E21" s="15" t="s">
        <v>110</v>
      </c>
      <c r="F21" s="15" t="s">
        <v>111</v>
      </c>
      <c r="G21" s="15" t="s">
        <v>6</v>
      </c>
      <c r="H21" s="15" t="s">
        <v>54</v>
      </c>
      <c r="I21" s="16"/>
    </row>
    <row r="22" spans="1:9" hidden="1">
      <c r="A22" s="13" t="s">
        <v>112</v>
      </c>
      <c r="B22" s="14">
        <v>1</v>
      </c>
      <c r="C22" s="15" t="s">
        <v>21</v>
      </c>
      <c r="D22" s="15" t="s">
        <v>113</v>
      </c>
      <c r="E22" s="15" t="s">
        <v>114</v>
      </c>
      <c r="F22" s="15" t="s">
        <v>115</v>
      </c>
      <c r="G22" s="15" t="s">
        <v>6</v>
      </c>
      <c r="H22" s="15" t="s">
        <v>54</v>
      </c>
      <c r="I22" s="16"/>
    </row>
    <row r="23" spans="1:9" hidden="1">
      <c r="A23" s="13" t="s">
        <v>116</v>
      </c>
      <c r="B23" s="14">
        <v>1</v>
      </c>
      <c r="C23" s="15" t="s">
        <v>21</v>
      </c>
      <c r="D23" s="15" t="s">
        <v>117</v>
      </c>
      <c r="E23" s="15" t="s">
        <v>118</v>
      </c>
      <c r="F23" s="15" t="s">
        <v>119</v>
      </c>
      <c r="G23" s="15" t="s">
        <v>6</v>
      </c>
      <c r="H23" s="15" t="s">
        <v>54</v>
      </c>
      <c r="I23" s="16"/>
    </row>
    <row r="24" spans="1:9" ht="42.45">
      <c r="A24" s="13" t="s">
        <v>120</v>
      </c>
      <c r="B24" s="14">
        <v>1</v>
      </c>
      <c r="C24" s="15" t="s">
        <v>21</v>
      </c>
      <c r="D24" s="15" t="s">
        <v>121</v>
      </c>
      <c r="E24" s="15" t="s">
        <v>122</v>
      </c>
      <c r="F24" s="15" t="s">
        <v>123</v>
      </c>
      <c r="G24" s="15" t="s">
        <v>9</v>
      </c>
      <c r="H24" s="15" t="s">
        <v>69</v>
      </c>
      <c r="I24" s="16" t="s">
        <v>853</v>
      </c>
    </row>
    <row r="25" spans="1:9">
      <c r="A25" s="13" t="s">
        <v>124</v>
      </c>
      <c r="B25" s="14">
        <v>1</v>
      </c>
      <c r="C25" s="15" t="s">
        <v>21</v>
      </c>
      <c r="D25" s="15" t="s">
        <v>121</v>
      </c>
      <c r="E25" s="15" t="s">
        <v>125</v>
      </c>
      <c r="F25" s="15" t="s">
        <v>126</v>
      </c>
      <c r="G25" s="15" t="s">
        <v>12</v>
      </c>
      <c r="H25" s="15" t="s">
        <v>69</v>
      </c>
      <c r="I25" s="16"/>
    </row>
    <row r="26" spans="1:9" ht="28.3">
      <c r="A26" s="13" t="s">
        <v>127</v>
      </c>
      <c r="B26" s="14">
        <v>1</v>
      </c>
      <c r="C26" s="15" t="s">
        <v>21</v>
      </c>
      <c r="D26" s="15" t="s">
        <v>128</v>
      </c>
      <c r="E26" s="15" t="s">
        <v>129</v>
      </c>
      <c r="F26" s="15" t="s">
        <v>130</v>
      </c>
      <c r="G26" s="15" t="s">
        <v>9</v>
      </c>
      <c r="H26" s="15" t="s">
        <v>69</v>
      </c>
      <c r="I26" s="16" t="s">
        <v>854</v>
      </c>
    </row>
    <row r="27" spans="1:9" ht="28.3" hidden="1">
      <c r="A27" s="13" t="s">
        <v>131</v>
      </c>
      <c r="B27" s="14">
        <v>1</v>
      </c>
      <c r="C27" s="15" t="s">
        <v>21</v>
      </c>
      <c r="D27" s="15" t="s">
        <v>71</v>
      </c>
      <c r="E27" s="15" t="s">
        <v>132</v>
      </c>
      <c r="F27" s="15" t="s">
        <v>133</v>
      </c>
      <c r="G27" s="15" t="s">
        <v>6</v>
      </c>
      <c r="H27" s="15" t="s">
        <v>54</v>
      </c>
      <c r="I27" s="16"/>
    </row>
    <row r="28" spans="1:9" hidden="1">
      <c r="A28" s="13" t="s">
        <v>134</v>
      </c>
      <c r="B28" s="14">
        <v>2</v>
      </c>
      <c r="C28" s="15" t="s">
        <v>22</v>
      </c>
      <c r="D28" s="15" t="s">
        <v>135</v>
      </c>
      <c r="E28" s="15" t="s">
        <v>136</v>
      </c>
      <c r="F28" s="15" t="s">
        <v>137</v>
      </c>
      <c r="G28" s="15" t="s">
        <v>6</v>
      </c>
      <c r="H28" s="15" t="s">
        <v>54</v>
      </c>
      <c r="I28" s="16" t="s">
        <v>855</v>
      </c>
    </row>
    <row r="29" spans="1:9" ht="28.3" hidden="1">
      <c r="A29" s="13" t="s">
        <v>138</v>
      </c>
      <c r="B29" s="14">
        <v>2</v>
      </c>
      <c r="C29" s="15" t="s">
        <v>22</v>
      </c>
      <c r="D29" s="15" t="s">
        <v>109</v>
      </c>
      <c r="E29" s="15" t="s">
        <v>139</v>
      </c>
      <c r="F29" s="15" t="s">
        <v>140</v>
      </c>
      <c r="G29" s="15" t="s">
        <v>6</v>
      </c>
      <c r="H29" s="15" t="s">
        <v>54</v>
      </c>
      <c r="I29" s="16"/>
    </row>
    <row r="30" spans="1:9" ht="28.3" hidden="1">
      <c r="A30" s="13" t="s">
        <v>141</v>
      </c>
      <c r="B30" s="14">
        <v>2</v>
      </c>
      <c r="C30" s="15" t="s">
        <v>22</v>
      </c>
      <c r="D30" s="15" t="s">
        <v>113</v>
      </c>
      <c r="E30" s="15" t="s">
        <v>142</v>
      </c>
      <c r="F30" s="15" t="s">
        <v>143</v>
      </c>
      <c r="G30" s="15" t="s">
        <v>6</v>
      </c>
      <c r="H30" s="15" t="s">
        <v>54</v>
      </c>
      <c r="I30" s="16"/>
    </row>
    <row r="31" spans="1:9" hidden="1">
      <c r="A31" s="13" t="s">
        <v>144</v>
      </c>
      <c r="B31" s="14">
        <v>2</v>
      </c>
      <c r="C31" s="15" t="s">
        <v>22</v>
      </c>
      <c r="D31" s="15" t="s">
        <v>145</v>
      </c>
      <c r="E31" s="15" t="s">
        <v>856</v>
      </c>
      <c r="F31" s="15" t="s">
        <v>146</v>
      </c>
      <c r="G31" s="15" t="s">
        <v>6</v>
      </c>
      <c r="H31" s="15" t="s">
        <v>54</v>
      </c>
      <c r="I31" s="16"/>
    </row>
    <row r="32" spans="1:9" hidden="1">
      <c r="A32" s="13" t="s">
        <v>147</v>
      </c>
      <c r="B32" s="14">
        <v>2</v>
      </c>
      <c r="C32" s="15" t="s">
        <v>22</v>
      </c>
      <c r="D32" s="15" t="s">
        <v>148</v>
      </c>
      <c r="E32" s="15" t="s">
        <v>149</v>
      </c>
      <c r="F32" s="15" t="s">
        <v>150</v>
      </c>
      <c r="G32" s="15" t="s">
        <v>6</v>
      </c>
      <c r="H32" s="15" t="s">
        <v>54</v>
      </c>
      <c r="I32" s="16"/>
    </row>
    <row r="33" spans="1:9" ht="28.3" hidden="1">
      <c r="A33" s="13" t="s">
        <v>151</v>
      </c>
      <c r="B33" s="14">
        <v>2</v>
      </c>
      <c r="C33" s="15" t="s">
        <v>22</v>
      </c>
      <c r="D33" s="15" t="s">
        <v>152</v>
      </c>
      <c r="E33" s="15" t="s">
        <v>153</v>
      </c>
      <c r="F33" s="15" t="s">
        <v>154</v>
      </c>
      <c r="G33" s="15" t="s">
        <v>6</v>
      </c>
      <c r="H33" s="15" t="s">
        <v>54</v>
      </c>
      <c r="I33" s="16"/>
    </row>
    <row r="34" spans="1:9" ht="28.3" hidden="1">
      <c r="A34" s="13" t="s">
        <v>155</v>
      </c>
      <c r="B34" s="14">
        <v>2</v>
      </c>
      <c r="C34" s="15" t="s">
        <v>22</v>
      </c>
      <c r="D34" s="15" t="s">
        <v>81</v>
      </c>
      <c r="E34" s="15" t="s">
        <v>156</v>
      </c>
      <c r="F34" s="15" t="s">
        <v>157</v>
      </c>
      <c r="G34" s="15" t="s">
        <v>6</v>
      </c>
      <c r="H34" s="15" t="s">
        <v>54</v>
      </c>
      <c r="I34" s="16"/>
    </row>
    <row r="35" spans="1:9" ht="28.3" hidden="1">
      <c r="A35" s="13" t="s">
        <v>158</v>
      </c>
      <c r="B35" s="14">
        <v>2</v>
      </c>
      <c r="C35" s="15" t="s">
        <v>22</v>
      </c>
      <c r="D35" s="15" t="s">
        <v>117</v>
      </c>
      <c r="E35" s="15" t="s">
        <v>159</v>
      </c>
      <c r="F35" s="15" t="s">
        <v>160</v>
      </c>
      <c r="G35" s="15" t="s">
        <v>6</v>
      </c>
      <c r="H35" s="15" t="s">
        <v>54</v>
      </c>
      <c r="I35" s="16"/>
    </row>
    <row r="36" spans="1:9">
      <c r="A36" s="13" t="s">
        <v>161</v>
      </c>
      <c r="B36" s="14">
        <v>2</v>
      </c>
      <c r="C36" s="15" t="s">
        <v>22</v>
      </c>
      <c r="D36" s="15" t="s">
        <v>128</v>
      </c>
      <c r="E36" s="15" t="s">
        <v>162</v>
      </c>
      <c r="F36" s="15" t="s">
        <v>163</v>
      </c>
      <c r="G36" s="15" t="s">
        <v>4</v>
      </c>
      <c r="H36" s="15" t="s">
        <v>69</v>
      </c>
      <c r="I36" s="16"/>
    </row>
    <row r="37" spans="1:9">
      <c r="A37" s="13" t="s">
        <v>164</v>
      </c>
      <c r="B37" s="14">
        <v>2</v>
      </c>
      <c r="C37" s="15" t="s">
        <v>22</v>
      </c>
      <c r="D37" s="15" t="s">
        <v>71</v>
      </c>
      <c r="E37" s="15" t="s">
        <v>165</v>
      </c>
      <c r="F37" s="15" t="s">
        <v>166</v>
      </c>
      <c r="G37" s="15" t="s">
        <v>4</v>
      </c>
      <c r="H37" s="15" t="s">
        <v>54</v>
      </c>
      <c r="I37" s="16"/>
    </row>
    <row r="38" spans="1:9" ht="28.3">
      <c r="A38" s="13" t="s">
        <v>167</v>
      </c>
      <c r="B38" s="14">
        <v>3</v>
      </c>
      <c r="C38" s="15" t="s">
        <v>24</v>
      </c>
      <c r="D38" s="15" t="s">
        <v>168</v>
      </c>
      <c r="E38" s="15" t="s">
        <v>169</v>
      </c>
      <c r="F38" s="15" t="s">
        <v>170</v>
      </c>
      <c r="G38" s="15" t="s">
        <v>4</v>
      </c>
      <c r="H38" s="15" t="s">
        <v>54</v>
      </c>
      <c r="I38" s="16"/>
    </row>
    <row r="39" spans="1:9">
      <c r="A39" s="13" t="s">
        <v>171</v>
      </c>
      <c r="B39" s="14">
        <v>3</v>
      </c>
      <c r="C39" s="15" t="s">
        <v>24</v>
      </c>
      <c r="D39" s="15" t="s">
        <v>109</v>
      </c>
      <c r="E39" s="15" t="s">
        <v>172</v>
      </c>
      <c r="F39" s="15" t="s">
        <v>173</v>
      </c>
      <c r="G39" s="15" t="s">
        <v>4</v>
      </c>
      <c r="H39" s="15" t="s">
        <v>54</v>
      </c>
      <c r="I39" s="16"/>
    </row>
    <row r="40" spans="1:9">
      <c r="A40" s="13" t="s">
        <v>174</v>
      </c>
      <c r="B40" s="14">
        <v>3</v>
      </c>
      <c r="C40" s="15" t="s">
        <v>24</v>
      </c>
      <c r="D40" s="15" t="s">
        <v>113</v>
      </c>
      <c r="E40" s="15" t="s">
        <v>175</v>
      </c>
      <c r="F40" s="15" t="s">
        <v>176</v>
      </c>
      <c r="G40" s="15" t="s">
        <v>4</v>
      </c>
      <c r="H40" s="15" t="s">
        <v>54</v>
      </c>
      <c r="I40" s="16"/>
    </row>
    <row r="41" spans="1:9">
      <c r="A41" s="13" t="s">
        <v>177</v>
      </c>
      <c r="B41" s="14">
        <v>3</v>
      </c>
      <c r="C41" s="15" t="s">
        <v>24</v>
      </c>
      <c r="D41" s="15" t="s">
        <v>168</v>
      </c>
      <c r="E41" s="15" t="s">
        <v>178</v>
      </c>
      <c r="F41" s="15" t="s">
        <v>179</v>
      </c>
      <c r="G41" s="15" t="s">
        <v>4</v>
      </c>
      <c r="H41" s="15" t="s">
        <v>69</v>
      </c>
      <c r="I41" s="16"/>
    </row>
    <row r="42" spans="1:9">
      <c r="A42" s="13" t="s">
        <v>180</v>
      </c>
      <c r="B42" s="14">
        <v>3</v>
      </c>
      <c r="C42" s="15" t="s">
        <v>24</v>
      </c>
      <c r="D42" s="15" t="s">
        <v>181</v>
      </c>
      <c r="E42" s="15" t="s">
        <v>182</v>
      </c>
      <c r="F42" s="15" t="s">
        <v>183</v>
      </c>
      <c r="G42" s="15" t="s">
        <v>4</v>
      </c>
      <c r="H42" s="15" t="s">
        <v>54</v>
      </c>
      <c r="I42" s="16"/>
    </row>
    <row r="43" spans="1:9">
      <c r="A43" s="13" t="s">
        <v>184</v>
      </c>
      <c r="B43" s="14">
        <v>3</v>
      </c>
      <c r="C43" s="15" t="s">
        <v>24</v>
      </c>
      <c r="D43" s="15" t="s">
        <v>181</v>
      </c>
      <c r="E43" s="15" t="s">
        <v>185</v>
      </c>
      <c r="F43" s="15" t="s">
        <v>186</v>
      </c>
      <c r="G43" s="15" t="s">
        <v>4</v>
      </c>
      <c r="H43" s="15" t="s">
        <v>54</v>
      </c>
      <c r="I43" s="16"/>
    </row>
    <row r="44" spans="1:9">
      <c r="A44" s="13" t="s">
        <v>187</v>
      </c>
      <c r="B44" s="14">
        <v>3</v>
      </c>
      <c r="C44" s="15" t="s">
        <v>24</v>
      </c>
      <c r="D44" s="15" t="s">
        <v>188</v>
      </c>
      <c r="E44" s="15" t="s">
        <v>189</v>
      </c>
      <c r="F44" s="15" t="s">
        <v>190</v>
      </c>
      <c r="G44" s="15" t="s">
        <v>4</v>
      </c>
      <c r="H44" s="15" t="s">
        <v>54</v>
      </c>
      <c r="I44" s="16"/>
    </row>
    <row r="45" spans="1:9" ht="28.3">
      <c r="A45" s="13" t="s">
        <v>191</v>
      </c>
      <c r="B45" s="14">
        <v>3</v>
      </c>
      <c r="C45" s="15" t="s">
        <v>24</v>
      </c>
      <c r="D45" s="15" t="s">
        <v>192</v>
      </c>
      <c r="E45" s="15" t="s">
        <v>193</v>
      </c>
      <c r="F45" s="15" t="s">
        <v>194</v>
      </c>
      <c r="G45" s="15" t="s">
        <v>4</v>
      </c>
      <c r="H45" s="15" t="s">
        <v>54</v>
      </c>
      <c r="I45" s="16"/>
    </row>
    <row r="46" spans="1:9" ht="28.3">
      <c r="A46" s="13" t="s">
        <v>195</v>
      </c>
      <c r="B46" s="14">
        <v>3</v>
      </c>
      <c r="C46" s="15" t="s">
        <v>24</v>
      </c>
      <c r="D46" s="15" t="s">
        <v>196</v>
      </c>
      <c r="E46" s="15" t="s">
        <v>197</v>
      </c>
      <c r="F46" s="15" t="s">
        <v>198</v>
      </c>
      <c r="G46" s="15" t="s">
        <v>4</v>
      </c>
      <c r="H46" s="15" t="s">
        <v>69</v>
      </c>
      <c r="I46" s="16"/>
    </row>
    <row r="47" spans="1:9">
      <c r="A47" s="13" t="s">
        <v>199</v>
      </c>
      <c r="B47" s="14">
        <v>3</v>
      </c>
      <c r="C47" s="15" t="s">
        <v>24</v>
      </c>
      <c r="D47" s="15" t="s">
        <v>71</v>
      </c>
      <c r="E47" s="15" t="s">
        <v>200</v>
      </c>
      <c r="F47" s="15" t="s">
        <v>201</v>
      </c>
      <c r="G47" s="15" t="s">
        <v>4</v>
      </c>
      <c r="H47" s="15" t="s">
        <v>54</v>
      </c>
      <c r="I47" s="16"/>
    </row>
    <row r="48" spans="1:9">
      <c r="A48" s="13" t="s">
        <v>202</v>
      </c>
      <c r="B48" s="14">
        <v>4</v>
      </c>
      <c r="C48" s="15" t="s">
        <v>25</v>
      </c>
      <c r="D48" s="15" t="s">
        <v>109</v>
      </c>
      <c r="E48" s="15" t="s">
        <v>203</v>
      </c>
      <c r="F48" s="15" t="s">
        <v>204</v>
      </c>
      <c r="G48" s="15" t="s">
        <v>4</v>
      </c>
      <c r="H48" s="15" t="s">
        <v>54</v>
      </c>
      <c r="I48" s="16"/>
    </row>
    <row r="49" spans="1:9" ht="28.3">
      <c r="A49" s="13" t="s">
        <v>205</v>
      </c>
      <c r="B49" s="14">
        <v>4</v>
      </c>
      <c r="C49" s="15" t="s">
        <v>25</v>
      </c>
      <c r="D49" s="15" t="s">
        <v>113</v>
      </c>
      <c r="E49" s="15" t="s">
        <v>206</v>
      </c>
      <c r="F49" s="15" t="s">
        <v>207</v>
      </c>
      <c r="G49" s="15" t="s">
        <v>4</v>
      </c>
      <c r="H49" s="15" t="s">
        <v>54</v>
      </c>
      <c r="I49" s="16"/>
    </row>
    <row r="50" spans="1:9">
      <c r="A50" s="13" t="s">
        <v>208</v>
      </c>
      <c r="B50" s="14">
        <v>4</v>
      </c>
      <c r="C50" s="15" t="s">
        <v>25</v>
      </c>
      <c r="D50" s="15" t="s">
        <v>209</v>
      </c>
      <c r="E50" s="15" t="s">
        <v>210</v>
      </c>
      <c r="F50" s="15" t="s">
        <v>211</v>
      </c>
      <c r="G50" s="15" t="s">
        <v>4</v>
      </c>
      <c r="H50" s="15" t="s">
        <v>54</v>
      </c>
      <c r="I50" s="16"/>
    </row>
    <row r="51" spans="1:9">
      <c r="A51" s="13" t="s">
        <v>212</v>
      </c>
      <c r="B51" s="14">
        <v>4</v>
      </c>
      <c r="C51" s="15" t="s">
        <v>25</v>
      </c>
      <c r="D51" s="15" t="s">
        <v>209</v>
      </c>
      <c r="E51" s="15" t="s">
        <v>213</v>
      </c>
      <c r="F51" s="15" t="s">
        <v>214</v>
      </c>
      <c r="G51" s="15" t="s">
        <v>4</v>
      </c>
      <c r="H51" s="15" t="s">
        <v>69</v>
      </c>
      <c r="I51" s="16"/>
    </row>
    <row r="52" spans="1:9" ht="28.3">
      <c r="A52" s="13" t="s">
        <v>215</v>
      </c>
      <c r="B52" s="14">
        <v>4</v>
      </c>
      <c r="C52" s="15" t="s">
        <v>25</v>
      </c>
      <c r="D52" s="15" t="s">
        <v>209</v>
      </c>
      <c r="E52" s="15" t="s">
        <v>216</v>
      </c>
      <c r="F52" s="15" t="s">
        <v>217</v>
      </c>
      <c r="G52" s="15" t="s">
        <v>4</v>
      </c>
      <c r="H52" s="15" t="s">
        <v>69</v>
      </c>
      <c r="I52" s="16"/>
    </row>
    <row r="53" spans="1:9">
      <c r="A53" s="13" t="s">
        <v>218</v>
      </c>
      <c r="B53" s="14">
        <v>4</v>
      </c>
      <c r="C53" s="15" t="s">
        <v>25</v>
      </c>
      <c r="D53" s="15" t="s">
        <v>209</v>
      </c>
      <c r="E53" s="15" t="s">
        <v>219</v>
      </c>
      <c r="F53" s="15" t="s">
        <v>220</v>
      </c>
      <c r="G53" s="15" t="s">
        <v>4</v>
      </c>
      <c r="H53" s="15" t="s">
        <v>54</v>
      </c>
      <c r="I53" s="16"/>
    </row>
    <row r="54" spans="1:9">
      <c r="A54" s="13" t="s">
        <v>221</v>
      </c>
      <c r="B54" s="14">
        <v>4</v>
      </c>
      <c r="C54" s="15" t="s">
        <v>25</v>
      </c>
      <c r="D54" s="15" t="s">
        <v>222</v>
      </c>
      <c r="E54" s="15" t="s">
        <v>223</v>
      </c>
      <c r="F54" s="15" t="s">
        <v>224</v>
      </c>
      <c r="G54" s="15" t="s">
        <v>4</v>
      </c>
      <c r="H54" s="15" t="s">
        <v>69</v>
      </c>
      <c r="I54" s="16"/>
    </row>
    <row r="55" spans="1:9">
      <c r="A55" s="13" t="s">
        <v>225</v>
      </c>
      <c r="B55" s="14">
        <v>4</v>
      </c>
      <c r="C55" s="15" t="s">
        <v>25</v>
      </c>
      <c r="D55" s="15" t="s">
        <v>226</v>
      </c>
      <c r="E55" s="15" t="s">
        <v>227</v>
      </c>
      <c r="F55" s="15" t="s">
        <v>228</v>
      </c>
      <c r="G55" s="15" t="s">
        <v>4</v>
      </c>
      <c r="H55" s="15" t="s">
        <v>69</v>
      </c>
      <c r="I55" s="16"/>
    </row>
    <row r="56" spans="1:9" ht="28.3">
      <c r="A56" s="13" t="s">
        <v>229</v>
      </c>
      <c r="B56" s="14">
        <v>4</v>
      </c>
      <c r="C56" s="15" t="s">
        <v>25</v>
      </c>
      <c r="D56" s="15" t="s">
        <v>128</v>
      </c>
      <c r="E56" s="15" t="s">
        <v>230</v>
      </c>
      <c r="F56" s="15" t="s">
        <v>231</v>
      </c>
      <c r="G56" s="15" t="s">
        <v>4</v>
      </c>
      <c r="H56" s="15" t="s">
        <v>54</v>
      </c>
      <c r="I56" s="16"/>
    </row>
    <row r="57" spans="1:9">
      <c r="A57" s="13" t="s">
        <v>232</v>
      </c>
      <c r="B57" s="14">
        <v>4</v>
      </c>
      <c r="C57" s="15" t="s">
        <v>25</v>
      </c>
      <c r="D57" s="15" t="s">
        <v>71</v>
      </c>
      <c r="E57" s="15" t="s">
        <v>233</v>
      </c>
      <c r="F57" s="15" t="s">
        <v>234</v>
      </c>
      <c r="G57" s="15" t="s">
        <v>4</v>
      </c>
      <c r="H57" s="15" t="s">
        <v>54</v>
      </c>
      <c r="I57" s="16"/>
    </row>
    <row r="58" spans="1:9" ht="28.3">
      <c r="A58" s="13" t="s">
        <v>235</v>
      </c>
      <c r="B58" s="14">
        <v>5</v>
      </c>
      <c r="C58" s="15" t="s">
        <v>26</v>
      </c>
      <c r="D58" s="15" t="s">
        <v>188</v>
      </c>
      <c r="E58" s="15" t="s">
        <v>236</v>
      </c>
      <c r="F58" s="15" t="s">
        <v>237</v>
      </c>
      <c r="G58" s="15" t="s">
        <v>4</v>
      </c>
      <c r="H58" s="15" t="s">
        <v>54</v>
      </c>
      <c r="I58" s="16"/>
    </row>
    <row r="59" spans="1:9">
      <c r="A59" s="13" t="s">
        <v>238</v>
      </c>
      <c r="B59" s="14">
        <v>5</v>
      </c>
      <c r="C59" s="15" t="s">
        <v>26</v>
      </c>
      <c r="D59" s="15" t="s">
        <v>188</v>
      </c>
      <c r="E59" s="15" t="s">
        <v>239</v>
      </c>
      <c r="F59" s="15" t="s">
        <v>240</v>
      </c>
      <c r="G59" s="15" t="s">
        <v>4</v>
      </c>
      <c r="H59" s="15" t="s">
        <v>69</v>
      </c>
      <c r="I59" s="16"/>
    </row>
    <row r="60" spans="1:9">
      <c r="A60" s="13" t="s">
        <v>241</v>
      </c>
      <c r="B60" s="14">
        <v>5</v>
      </c>
      <c r="C60" s="15" t="s">
        <v>26</v>
      </c>
      <c r="D60" s="15" t="s">
        <v>188</v>
      </c>
      <c r="E60" s="15" t="s">
        <v>242</v>
      </c>
      <c r="F60" s="15" t="s">
        <v>243</v>
      </c>
      <c r="G60" s="15" t="s">
        <v>4</v>
      </c>
      <c r="H60" s="15" t="s">
        <v>54</v>
      </c>
      <c r="I60" s="16"/>
    </row>
    <row r="61" spans="1:9" ht="28.3">
      <c r="A61" s="13" t="s">
        <v>244</v>
      </c>
      <c r="B61" s="14">
        <v>5</v>
      </c>
      <c r="C61" s="15" t="s">
        <v>26</v>
      </c>
      <c r="D61" s="15" t="s">
        <v>121</v>
      </c>
      <c r="E61" s="15" t="s">
        <v>245</v>
      </c>
      <c r="F61" s="15" t="s">
        <v>246</v>
      </c>
      <c r="G61" s="15" t="s">
        <v>4</v>
      </c>
      <c r="H61" s="15" t="s">
        <v>54</v>
      </c>
      <c r="I61" s="16"/>
    </row>
    <row r="62" spans="1:9">
      <c r="A62" s="13" t="s">
        <v>247</v>
      </c>
      <c r="B62" s="14">
        <v>5</v>
      </c>
      <c r="C62" s="15" t="s">
        <v>26</v>
      </c>
      <c r="D62" s="15" t="s">
        <v>248</v>
      </c>
      <c r="E62" s="15" t="s">
        <v>249</v>
      </c>
      <c r="F62" s="15" t="s">
        <v>250</v>
      </c>
      <c r="G62" s="15" t="s">
        <v>4</v>
      </c>
      <c r="H62" s="15" t="s">
        <v>54</v>
      </c>
      <c r="I62" s="16"/>
    </row>
    <row r="63" spans="1:9">
      <c r="A63" s="13" t="s">
        <v>251</v>
      </c>
      <c r="B63" s="14">
        <v>5</v>
      </c>
      <c r="C63" s="15" t="s">
        <v>26</v>
      </c>
      <c r="D63" s="15" t="s">
        <v>248</v>
      </c>
      <c r="E63" s="15" t="s">
        <v>252</v>
      </c>
      <c r="F63" s="15" t="s">
        <v>253</v>
      </c>
      <c r="G63" s="15" t="s">
        <v>4</v>
      </c>
      <c r="H63" s="15" t="s">
        <v>54</v>
      </c>
      <c r="I63" s="16"/>
    </row>
    <row r="64" spans="1:9" ht="28.3">
      <c r="A64" s="13" t="s">
        <v>254</v>
      </c>
      <c r="B64" s="14">
        <v>5</v>
      </c>
      <c r="C64" s="15" t="s">
        <v>26</v>
      </c>
      <c r="D64" s="15" t="s">
        <v>248</v>
      </c>
      <c r="E64" s="15" t="s">
        <v>255</v>
      </c>
      <c r="F64" s="15" t="s">
        <v>256</v>
      </c>
      <c r="G64" s="15" t="s">
        <v>4</v>
      </c>
      <c r="H64" s="15" t="s">
        <v>54</v>
      </c>
      <c r="I64" s="16"/>
    </row>
    <row r="65" spans="1:9">
      <c r="A65" s="13" t="s">
        <v>257</v>
      </c>
      <c r="B65" s="14">
        <v>5</v>
      </c>
      <c r="C65" s="15" t="s">
        <v>26</v>
      </c>
      <c r="D65" s="15" t="s">
        <v>121</v>
      </c>
      <c r="E65" s="15" t="s">
        <v>258</v>
      </c>
      <c r="F65" s="15" t="s">
        <v>259</v>
      </c>
      <c r="G65" s="15" t="s">
        <v>4</v>
      </c>
      <c r="H65" s="15" t="s">
        <v>54</v>
      </c>
      <c r="I65" s="16"/>
    </row>
    <row r="66" spans="1:9" ht="28.3">
      <c r="A66" s="13" t="s">
        <v>260</v>
      </c>
      <c r="B66" s="14">
        <v>5</v>
      </c>
      <c r="C66" s="15" t="s">
        <v>26</v>
      </c>
      <c r="D66" s="15" t="s">
        <v>128</v>
      </c>
      <c r="E66" s="15" t="s">
        <v>261</v>
      </c>
      <c r="F66" s="15" t="s">
        <v>262</v>
      </c>
      <c r="G66" s="15" t="s">
        <v>4</v>
      </c>
      <c r="H66" s="15" t="s">
        <v>54</v>
      </c>
      <c r="I66" s="16"/>
    </row>
    <row r="67" spans="1:9" ht="28.3">
      <c r="A67" s="13" t="s">
        <v>263</v>
      </c>
      <c r="B67" s="14">
        <v>5</v>
      </c>
      <c r="C67" s="15" t="s">
        <v>26</v>
      </c>
      <c r="D67" s="15" t="s">
        <v>71</v>
      </c>
      <c r="E67" s="15" t="s">
        <v>264</v>
      </c>
      <c r="F67" s="15" t="s">
        <v>265</v>
      </c>
      <c r="G67" s="15" t="s">
        <v>4</v>
      </c>
      <c r="H67" s="15" t="s">
        <v>69</v>
      </c>
      <c r="I67" s="16"/>
    </row>
    <row r="68" spans="1:9" ht="28.3">
      <c r="A68" s="13" t="s">
        <v>266</v>
      </c>
      <c r="B68" s="14">
        <v>6</v>
      </c>
      <c r="C68" s="15" t="s">
        <v>27</v>
      </c>
      <c r="D68" s="15" t="s">
        <v>267</v>
      </c>
      <c r="E68" s="15" t="s">
        <v>268</v>
      </c>
      <c r="F68" s="15" t="s">
        <v>269</v>
      </c>
      <c r="G68" s="15" t="s">
        <v>4</v>
      </c>
      <c r="H68" s="15" t="s">
        <v>54</v>
      </c>
      <c r="I68" s="16"/>
    </row>
    <row r="69" spans="1:9">
      <c r="A69" s="13" t="s">
        <v>270</v>
      </c>
      <c r="B69" s="14">
        <v>6</v>
      </c>
      <c r="C69" s="15" t="s">
        <v>27</v>
      </c>
      <c r="D69" s="15" t="s">
        <v>148</v>
      </c>
      <c r="E69" s="15" t="s">
        <v>271</v>
      </c>
      <c r="F69" s="15" t="s">
        <v>272</v>
      </c>
      <c r="G69" s="15" t="s">
        <v>4</v>
      </c>
      <c r="H69" s="15" t="s">
        <v>54</v>
      </c>
      <c r="I69" s="16"/>
    </row>
    <row r="70" spans="1:9">
      <c r="A70" s="13" t="s">
        <v>273</v>
      </c>
      <c r="B70" s="14">
        <v>6</v>
      </c>
      <c r="C70" s="15" t="s">
        <v>27</v>
      </c>
      <c r="D70" s="15" t="s">
        <v>148</v>
      </c>
      <c r="E70" s="15" t="s">
        <v>274</v>
      </c>
      <c r="F70" s="15" t="s">
        <v>275</v>
      </c>
      <c r="G70" s="15" t="s">
        <v>4</v>
      </c>
      <c r="H70" s="15" t="s">
        <v>54</v>
      </c>
      <c r="I70" s="16"/>
    </row>
    <row r="71" spans="1:9">
      <c r="A71" s="13" t="s">
        <v>276</v>
      </c>
      <c r="B71" s="14">
        <v>6</v>
      </c>
      <c r="C71" s="15" t="s">
        <v>27</v>
      </c>
      <c r="D71" s="15" t="s">
        <v>117</v>
      </c>
      <c r="E71" s="15" t="s">
        <v>277</v>
      </c>
      <c r="F71" s="15" t="s">
        <v>278</v>
      </c>
      <c r="G71" s="15" t="s">
        <v>4</v>
      </c>
      <c r="H71" s="15" t="s">
        <v>54</v>
      </c>
      <c r="I71" s="16"/>
    </row>
    <row r="72" spans="1:9">
      <c r="A72" s="13" t="s">
        <v>279</v>
      </c>
      <c r="B72" s="14">
        <v>6</v>
      </c>
      <c r="C72" s="15" t="s">
        <v>27</v>
      </c>
      <c r="D72" s="15" t="s">
        <v>280</v>
      </c>
      <c r="E72" s="15" t="s">
        <v>281</v>
      </c>
      <c r="F72" s="15" t="s">
        <v>282</v>
      </c>
      <c r="G72" s="15" t="s">
        <v>4</v>
      </c>
      <c r="H72" s="15" t="s">
        <v>54</v>
      </c>
      <c r="I72" s="16"/>
    </row>
    <row r="73" spans="1:9">
      <c r="A73" s="13" t="s">
        <v>283</v>
      </c>
      <c r="B73" s="14">
        <v>6</v>
      </c>
      <c r="C73" s="15" t="s">
        <v>27</v>
      </c>
      <c r="D73" s="15" t="s">
        <v>135</v>
      </c>
      <c r="E73" s="15" t="s">
        <v>284</v>
      </c>
      <c r="F73" s="15" t="s">
        <v>285</v>
      </c>
      <c r="G73" s="15" t="s">
        <v>4</v>
      </c>
      <c r="H73" s="15" t="s">
        <v>54</v>
      </c>
      <c r="I73" s="16"/>
    </row>
    <row r="74" spans="1:9" ht="28.3">
      <c r="A74" s="13" t="s">
        <v>286</v>
      </c>
      <c r="B74" s="14">
        <v>6</v>
      </c>
      <c r="C74" s="15" t="s">
        <v>27</v>
      </c>
      <c r="D74" s="15" t="s">
        <v>121</v>
      </c>
      <c r="E74" s="15" t="s">
        <v>287</v>
      </c>
      <c r="F74" s="15" t="s">
        <v>288</v>
      </c>
      <c r="G74" s="15" t="s">
        <v>4</v>
      </c>
      <c r="H74" s="15" t="s">
        <v>69</v>
      </c>
      <c r="I74" s="16"/>
    </row>
    <row r="75" spans="1:9">
      <c r="A75" s="13" t="s">
        <v>289</v>
      </c>
      <c r="B75" s="14">
        <v>6</v>
      </c>
      <c r="C75" s="15" t="s">
        <v>27</v>
      </c>
      <c r="D75" s="15" t="s">
        <v>128</v>
      </c>
      <c r="E75" s="15" t="s">
        <v>290</v>
      </c>
      <c r="F75" s="15" t="s">
        <v>291</v>
      </c>
      <c r="G75" s="15" t="s">
        <v>4</v>
      </c>
      <c r="H75" s="15" t="s">
        <v>54</v>
      </c>
      <c r="I75" s="16"/>
    </row>
    <row r="76" spans="1:9">
      <c r="A76" s="13" t="s">
        <v>292</v>
      </c>
      <c r="B76" s="14">
        <v>6</v>
      </c>
      <c r="C76" s="15" t="s">
        <v>27</v>
      </c>
      <c r="D76" s="15" t="s">
        <v>293</v>
      </c>
      <c r="E76" s="15" t="s">
        <v>294</v>
      </c>
      <c r="F76" s="15" t="s">
        <v>295</v>
      </c>
      <c r="G76" s="15" t="s">
        <v>4</v>
      </c>
      <c r="H76" s="15" t="s">
        <v>69</v>
      </c>
      <c r="I76" s="16"/>
    </row>
    <row r="77" spans="1:9">
      <c r="A77" s="13" t="s">
        <v>296</v>
      </c>
      <c r="B77" s="14">
        <v>6</v>
      </c>
      <c r="C77" s="15" t="s">
        <v>27</v>
      </c>
      <c r="D77" s="15" t="s">
        <v>71</v>
      </c>
      <c r="E77" s="15" t="s">
        <v>297</v>
      </c>
      <c r="F77" s="15" t="s">
        <v>298</v>
      </c>
      <c r="G77" s="15" t="s">
        <v>4</v>
      </c>
      <c r="H77" s="15" t="s">
        <v>54</v>
      </c>
      <c r="I77" s="16"/>
    </row>
    <row r="78" spans="1:9" ht="28.3">
      <c r="A78" s="13" t="s">
        <v>299</v>
      </c>
      <c r="B78" s="14">
        <v>7</v>
      </c>
      <c r="C78" s="15" t="s">
        <v>28</v>
      </c>
      <c r="D78" s="15" t="s">
        <v>109</v>
      </c>
      <c r="E78" s="15" t="s">
        <v>300</v>
      </c>
      <c r="F78" s="15" t="s">
        <v>301</v>
      </c>
      <c r="G78" s="15" t="s">
        <v>4</v>
      </c>
      <c r="H78" s="15" t="s">
        <v>54</v>
      </c>
      <c r="I78" s="16"/>
    </row>
    <row r="79" spans="1:9" ht="28.3">
      <c r="A79" s="13" t="s">
        <v>302</v>
      </c>
      <c r="B79" s="14">
        <v>7</v>
      </c>
      <c r="C79" s="15" t="s">
        <v>28</v>
      </c>
      <c r="D79" s="15" t="s">
        <v>303</v>
      </c>
      <c r="E79" s="15" t="s">
        <v>304</v>
      </c>
      <c r="F79" s="15" t="s">
        <v>305</v>
      </c>
      <c r="G79" s="15" t="s">
        <v>4</v>
      </c>
      <c r="H79" s="15" t="s">
        <v>69</v>
      </c>
      <c r="I79" s="16"/>
    </row>
    <row r="80" spans="1:9" ht="28.3">
      <c r="A80" s="13" t="s">
        <v>306</v>
      </c>
      <c r="B80" s="14">
        <v>7</v>
      </c>
      <c r="C80" s="15" t="s">
        <v>28</v>
      </c>
      <c r="D80" s="15" t="s">
        <v>303</v>
      </c>
      <c r="E80" s="15" t="s">
        <v>307</v>
      </c>
      <c r="F80" s="15" t="s">
        <v>308</v>
      </c>
      <c r="G80" s="15" t="s">
        <v>4</v>
      </c>
      <c r="H80" s="15" t="s">
        <v>54</v>
      </c>
      <c r="I80" s="16"/>
    </row>
    <row r="81" spans="1:9">
      <c r="A81" s="13" t="s">
        <v>309</v>
      </c>
      <c r="B81" s="14">
        <v>7</v>
      </c>
      <c r="C81" s="15" t="s">
        <v>28</v>
      </c>
      <c r="D81" s="15" t="s">
        <v>303</v>
      </c>
      <c r="E81" s="15" t="s">
        <v>310</v>
      </c>
      <c r="F81" s="15" t="s">
        <v>311</v>
      </c>
      <c r="G81" s="15" t="s">
        <v>4</v>
      </c>
      <c r="H81" s="15" t="s">
        <v>54</v>
      </c>
      <c r="I81" s="16"/>
    </row>
    <row r="82" spans="1:9">
      <c r="A82" s="13" t="s">
        <v>312</v>
      </c>
      <c r="B82" s="14">
        <v>7</v>
      </c>
      <c r="C82" s="15" t="s">
        <v>28</v>
      </c>
      <c r="D82" s="15" t="s">
        <v>303</v>
      </c>
      <c r="E82" s="15" t="s">
        <v>313</v>
      </c>
      <c r="F82" s="15" t="s">
        <v>314</v>
      </c>
      <c r="G82" s="15" t="s">
        <v>4</v>
      </c>
      <c r="H82" s="15" t="s">
        <v>54</v>
      </c>
      <c r="I82" s="16"/>
    </row>
    <row r="83" spans="1:9">
      <c r="A83" s="13" t="s">
        <v>315</v>
      </c>
      <c r="B83" s="14">
        <v>7</v>
      </c>
      <c r="C83" s="15" t="s">
        <v>28</v>
      </c>
      <c r="D83" s="15" t="s">
        <v>303</v>
      </c>
      <c r="E83" s="15" t="s">
        <v>316</v>
      </c>
      <c r="F83" s="15" t="s">
        <v>317</v>
      </c>
      <c r="G83" s="15" t="s">
        <v>4</v>
      </c>
      <c r="H83" s="15" t="s">
        <v>54</v>
      </c>
      <c r="I83" s="16"/>
    </row>
    <row r="84" spans="1:9" ht="28.3">
      <c r="A84" s="13" t="s">
        <v>318</v>
      </c>
      <c r="B84" s="14">
        <v>7</v>
      </c>
      <c r="C84" s="15" t="s">
        <v>28</v>
      </c>
      <c r="D84" s="15" t="s">
        <v>81</v>
      </c>
      <c r="E84" s="15" t="s">
        <v>319</v>
      </c>
      <c r="F84" s="15" t="s">
        <v>320</v>
      </c>
      <c r="G84" s="15" t="s">
        <v>4</v>
      </c>
      <c r="H84" s="15" t="s">
        <v>69</v>
      </c>
      <c r="I84" s="16"/>
    </row>
    <row r="85" spans="1:9" ht="28.3">
      <c r="A85" s="13" t="s">
        <v>321</v>
      </c>
      <c r="B85" s="14">
        <v>7</v>
      </c>
      <c r="C85" s="15" t="s">
        <v>28</v>
      </c>
      <c r="D85" s="15" t="s">
        <v>121</v>
      </c>
      <c r="E85" s="15" t="s">
        <v>322</v>
      </c>
      <c r="F85" s="15" t="s">
        <v>323</v>
      </c>
      <c r="G85" s="15" t="s">
        <v>4</v>
      </c>
      <c r="H85" s="15" t="s">
        <v>69</v>
      </c>
      <c r="I85" s="16"/>
    </row>
    <row r="86" spans="1:9">
      <c r="A86" s="13" t="s">
        <v>324</v>
      </c>
      <c r="B86" s="14">
        <v>7</v>
      </c>
      <c r="C86" s="15" t="s">
        <v>28</v>
      </c>
      <c r="D86" s="15" t="s">
        <v>128</v>
      </c>
      <c r="E86" s="15" t="s">
        <v>325</v>
      </c>
      <c r="F86" s="15" t="s">
        <v>326</v>
      </c>
      <c r="G86" s="15" t="s">
        <v>4</v>
      </c>
      <c r="H86" s="15" t="s">
        <v>54</v>
      </c>
      <c r="I86" s="16"/>
    </row>
    <row r="87" spans="1:9">
      <c r="A87" s="13" t="s">
        <v>327</v>
      </c>
      <c r="B87" s="14">
        <v>7</v>
      </c>
      <c r="C87" s="15" t="s">
        <v>28</v>
      </c>
      <c r="D87" s="15" t="s">
        <v>71</v>
      </c>
      <c r="E87" s="15" t="s">
        <v>328</v>
      </c>
      <c r="F87" s="15" t="s">
        <v>329</v>
      </c>
      <c r="G87" s="15" t="s">
        <v>4</v>
      </c>
      <c r="H87" s="15" t="s">
        <v>54</v>
      </c>
      <c r="I87" s="16"/>
    </row>
    <row r="88" spans="1:9" ht="28.3">
      <c r="A88" s="13" t="s">
        <v>330</v>
      </c>
      <c r="B88" s="14">
        <v>8</v>
      </c>
      <c r="C88" s="15" t="s">
        <v>29</v>
      </c>
      <c r="D88" s="15" t="s">
        <v>102</v>
      </c>
      <c r="E88" s="15" t="s">
        <v>331</v>
      </c>
      <c r="F88" s="15" t="s">
        <v>332</v>
      </c>
      <c r="G88" s="15" t="s">
        <v>4</v>
      </c>
      <c r="H88" s="15" t="s">
        <v>54</v>
      </c>
      <c r="I88" s="16"/>
    </row>
    <row r="89" spans="1:9">
      <c r="A89" s="13" t="s">
        <v>333</v>
      </c>
      <c r="B89" s="14">
        <v>8</v>
      </c>
      <c r="C89" s="15" t="s">
        <v>29</v>
      </c>
      <c r="D89" s="15" t="s">
        <v>334</v>
      </c>
      <c r="E89" s="15" t="s">
        <v>335</v>
      </c>
      <c r="F89" s="15" t="s">
        <v>336</v>
      </c>
      <c r="G89" s="15" t="s">
        <v>4</v>
      </c>
      <c r="H89" s="15" t="s">
        <v>54</v>
      </c>
      <c r="I89" s="16"/>
    </row>
    <row r="90" spans="1:9">
      <c r="A90" s="13" t="s">
        <v>337</v>
      </c>
      <c r="B90" s="14">
        <v>8</v>
      </c>
      <c r="C90" s="15" t="s">
        <v>29</v>
      </c>
      <c r="D90" s="15" t="s">
        <v>334</v>
      </c>
      <c r="E90" s="15" t="s">
        <v>338</v>
      </c>
      <c r="F90" s="15" t="s">
        <v>339</v>
      </c>
      <c r="G90" s="15" t="s">
        <v>4</v>
      </c>
      <c r="H90" s="15" t="s">
        <v>54</v>
      </c>
      <c r="I90" s="16"/>
    </row>
    <row r="91" spans="1:9">
      <c r="A91" s="13" t="s">
        <v>340</v>
      </c>
      <c r="B91" s="14">
        <v>8</v>
      </c>
      <c r="C91" s="15" t="s">
        <v>29</v>
      </c>
      <c r="D91" s="15" t="s">
        <v>334</v>
      </c>
      <c r="E91" s="15" t="s">
        <v>341</v>
      </c>
      <c r="F91" s="15" t="s">
        <v>342</v>
      </c>
      <c r="G91" s="15" t="s">
        <v>4</v>
      </c>
      <c r="H91" s="15" t="s">
        <v>54</v>
      </c>
      <c r="I91" s="16"/>
    </row>
    <row r="92" spans="1:9" ht="28.3">
      <c r="A92" s="13" t="s">
        <v>343</v>
      </c>
      <c r="B92" s="14">
        <v>8</v>
      </c>
      <c r="C92" s="15" t="s">
        <v>29</v>
      </c>
      <c r="D92" s="15" t="s">
        <v>334</v>
      </c>
      <c r="E92" s="15" t="s">
        <v>344</v>
      </c>
      <c r="F92" s="15" t="s">
        <v>345</v>
      </c>
      <c r="G92" s="15" t="s">
        <v>4</v>
      </c>
      <c r="H92" s="15" t="s">
        <v>69</v>
      </c>
      <c r="I92" s="16"/>
    </row>
    <row r="93" spans="1:9">
      <c r="A93" s="13" t="s">
        <v>346</v>
      </c>
      <c r="B93" s="14">
        <v>8</v>
      </c>
      <c r="C93" s="15" t="s">
        <v>29</v>
      </c>
      <c r="D93" s="15" t="s">
        <v>334</v>
      </c>
      <c r="E93" s="15" t="s">
        <v>347</v>
      </c>
      <c r="F93" s="15" t="s">
        <v>348</v>
      </c>
      <c r="G93" s="15" t="s">
        <v>4</v>
      </c>
      <c r="H93" s="15" t="s">
        <v>69</v>
      </c>
      <c r="I93" s="16"/>
    </row>
    <row r="94" spans="1:9">
      <c r="A94" s="13" t="s">
        <v>349</v>
      </c>
      <c r="B94" s="14">
        <v>8</v>
      </c>
      <c r="C94" s="15" t="s">
        <v>29</v>
      </c>
      <c r="D94" s="15" t="s">
        <v>350</v>
      </c>
      <c r="E94" s="15" t="s">
        <v>351</v>
      </c>
      <c r="F94" s="15" t="s">
        <v>352</v>
      </c>
      <c r="G94" s="15" t="s">
        <v>4</v>
      </c>
      <c r="H94" s="15" t="s">
        <v>54</v>
      </c>
      <c r="I94" s="16"/>
    </row>
    <row r="95" spans="1:9" ht="28.3">
      <c r="A95" s="13" t="s">
        <v>353</v>
      </c>
      <c r="B95" s="14">
        <v>8</v>
      </c>
      <c r="C95" s="15" t="s">
        <v>29</v>
      </c>
      <c r="D95" s="15" t="s">
        <v>81</v>
      </c>
      <c r="E95" s="15" t="s">
        <v>354</v>
      </c>
      <c r="F95" s="15" t="s">
        <v>355</v>
      </c>
      <c r="G95" s="15" t="s">
        <v>4</v>
      </c>
      <c r="H95" s="15" t="s">
        <v>54</v>
      </c>
      <c r="I95" s="16"/>
    </row>
    <row r="96" spans="1:9">
      <c r="A96" s="13" t="s">
        <v>356</v>
      </c>
      <c r="B96" s="14">
        <v>8</v>
      </c>
      <c r="C96" s="15" t="s">
        <v>29</v>
      </c>
      <c r="D96" s="15" t="s">
        <v>128</v>
      </c>
      <c r="E96" s="15" t="s">
        <v>357</v>
      </c>
      <c r="F96" s="15" t="s">
        <v>358</v>
      </c>
      <c r="G96" s="15" t="s">
        <v>4</v>
      </c>
      <c r="H96" s="15" t="s">
        <v>69</v>
      </c>
      <c r="I96" s="16"/>
    </row>
    <row r="97" spans="1:9">
      <c r="A97" s="13" t="s">
        <v>359</v>
      </c>
      <c r="B97" s="14">
        <v>8</v>
      </c>
      <c r="C97" s="15" t="s">
        <v>29</v>
      </c>
      <c r="D97" s="15" t="s">
        <v>71</v>
      </c>
      <c r="E97" s="15" t="s">
        <v>360</v>
      </c>
      <c r="F97" s="15" t="s">
        <v>361</v>
      </c>
      <c r="G97" s="15" t="s">
        <v>4</v>
      </c>
      <c r="H97" s="15" t="s">
        <v>54</v>
      </c>
      <c r="I97" s="16"/>
    </row>
    <row r="98" spans="1:9" ht="28.3">
      <c r="A98" s="13" t="s">
        <v>362</v>
      </c>
      <c r="B98" s="14">
        <v>9</v>
      </c>
      <c r="C98" s="15" t="s">
        <v>30</v>
      </c>
      <c r="D98" s="15" t="s">
        <v>267</v>
      </c>
      <c r="E98" s="15" t="s">
        <v>363</v>
      </c>
      <c r="F98" s="15" t="s">
        <v>364</v>
      </c>
      <c r="G98" s="15" t="s">
        <v>4</v>
      </c>
      <c r="H98" s="15" t="s">
        <v>54</v>
      </c>
      <c r="I98" s="16"/>
    </row>
    <row r="99" spans="1:9">
      <c r="A99" s="13" t="s">
        <v>365</v>
      </c>
      <c r="B99" s="14">
        <v>9</v>
      </c>
      <c r="C99" s="15" t="s">
        <v>30</v>
      </c>
      <c r="D99" s="15" t="s">
        <v>113</v>
      </c>
      <c r="E99" s="15" t="s">
        <v>366</v>
      </c>
      <c r="F99" s="15" t="s">
        <v>367</v>
      </c>
      <c r="G99" s="15" t="s">
        <v>4</v>
      </c>
      <c r="H99" s="15" t="s">
        <v>54</v>
      </c>
      <c r="I99" s="16"/>
    </row>
    <row r="100" spans="1:9">
      <c r="A100" s="13" t="s">
        <v>368</v>
      </c>
      <c r="B100" s="14">
        <v>9</v>
      </c>
      <c r="C100" s="15" t="s">
        <v>30</v>
      </c>
      <c r="D100" s="15" t="s">
        <v>369</v>
      </c>
      <c r="E100" s="15" t="s">
        <v>370</v>
      </c>
      <c r="F100" s="15" t="s">
        <v>371</v>
      </c>
      <c r="G100" s="15" t="s">
        <v>4</v>
      </c>
      <c r="H100" s="15" t="s">
        <v>54</v>
      </c>
      <c r="I100" s="16"/>
    </row>
    <row r="101" spans="1:9" ht="28.3">
      <c r="A101" s="13" t="s">
        <v>372</v>
      </c>
      <c r="B101" s="14">
        <v>9</v>
      </c>
      <c r="C101" s="15" t="s">
        <v>30</v>
      </c>
      <c r="D101" s="15" t="s">
        <v>135</v>
      </c>
      <c r="E101" s="15" t="s">
        <v>373</v>
      </c>
      <c r="F101" s="15" t="s">
        <v>374</v>
      </c>
      <c r="G101" s="15" t="s">
        <v>4</v>
      </c>
      <c r="H101" s="15" t="s">
        <v>54</v>
      </c>
      <c r="I101" s="16"/>
    </row>
    <row r="102" spans="1:9">
      <c r="A102" s="13" t="s">
        <v>375</v>
      </c>
      <c r="B102" s="14">
        <v>9</v>
      </c>
      <c r="C102" s="15" t="s">
        <v>30</v>
      </c>
      <c r="D102" s="15" t="s">
        <v>81</v>
      </c>
      <c r="E102" s="15" t="s">
        <v>376</v>
      </c>
      <c r="F102" s="15" t="s">
        <v>377</v>
      </c>
      <c r="G102" s="15" t="s">
        <v>4</v>
      </c>
      <c r="H102" s="15" t="s">
        <v>54</v>
      </c>
      <c r="I102" s="16"/>
    </row>
    <row r="103" spans="1:9" ht="28.3">
      <c r="A103" s="13" t="s">
        <v>378</v>
      </c>
      <c r="B103" s="14">
        <v>9</v>
      </c>
      <c r="C103" s="15" t="s">
        <v>30</v>
      </c>
      <c r="D103" s="15" t="s">
        <v>117</v>
      </c>
      <c r="E103" s="15" t="s">
        <v>379</v>
      </c>
      <c r="F103" s="15" t="s">
        <v>278</v>
      </c>
      <c r="G103" s="15" t="s">
        <v>4</v>
      </c>
      <c r="H103" s="15" t="s">
        <v>54</v>
      </c>
      <c r="I103" s="16"/>
    </row>
    <row r="104" spans="1:9">
      <c r="A104" s="13" t="s">
        <v>380</v>
      </c>
      <c r="B104" s="14">
        <v>9</v>
      </c>
      <c r="C104" s="15" t="s">
        <v>30</v>
      </c>
      <c r="D104" s="15" t="s">
        <v>381</v>
      </c>
      <c r="E104" s="15" t="s">
        <v>382</v>
      </c>
      <c r="F104" s="15" t="s">
        <v>383</v>
      </c>
      <c r="G104" s="15" t="s">
        <v>4</v>
      </c>
      <c r="H104" s="15" t="s">
        <v>69</v>
      </c>
      <c r="I104" s="16"/>
    </row>
    <row r="105" spans="1:9">
      <c r="A105" s="13" t="s">
        <v>384</v>
      </c>
      <c r="B105" s="14">
        <v>9</v>
      </c>
      <c r="C105" s="15" t="s">
        <v>30</v>
      </c>
      <c r="D105" s="15" t="s">
        <v>121</v>
      </c>
      <c r="E105" s="15" t="s">
        <v>385</v>
      </c>
      <c r="F105" s="15" t="s">
        <v>386</v>
      </c>
      <c r="G105" s="15" t="s">
        <v>4</v>
      </c>
      <c r="H105" s="15" t="s">
        <v>69</v>
      </c>
      <c r="I105" s="16"/>
    </row>
    <row r="106" spans="1:9">
      <c r="A106" s="13" t="s">
        <v>387</v>
      </c>
      <c r="B106" s="14">
        <v>9</v>
      </c>
      <c r="C106" s="15" t="s">
        <v>30</v>
      </c>
      <c r="D106" s="15" t="s">
        <v>128</v>
      </c>
      <c r="E106" s="15" t="s">
        <v>388</v>
      </c>
      <c r="F106" s="15" t="s">
        <v>291</v>
      </c>
      <c r="G106" s="15" t="s">
        <v>4</v>
      </c>
      <c r="H106" s="15" t="s">
        <v>54</v>
      </c>
      <c r="I106" s="16"/>
    </row>
    <row r="107" spans="1:9">
      <c r="A107" s="13" t="s">
        <v>389</v>
      </c>
      <c r="B107" s="14">
        <v>9</v>
      </c>
      <c r="C107" s="15" t="s">
        <v>30</v>
      </c>
      <c r="D107" s="15" t="s">
        <v>71</v>
      </c>
      <c r="E107" s="15" t="s">
        <v>390</v>
      </c>
      <c r="F107" s="15" t="s">
        <v>391</v>
      </c>
      <c r="G107" s="15" t="s">
        <v>4</v>
      </c>
      <c r="H107" s="15" t="s">
        <v>54</v>
      </c>
      <c r="I107" s="16"/>
    </row>
    <row r="108" spans="1:9" ht="28.3">
      <c r="A108" s="13" t="s">
        <v>392</v>
      </c>
      <c r="B108" s="14">
        <v>10</v>
      </c>
      <c r="C108" s="15" t="s">
        <v>31</v>
      </c>
      <c r="D108" s="15" t="s">
        <v>102</v>
      </c>
      <c r="E108" s="15" t="s">
        <v>393</v>
      </c>
      <c r="F108" s="15" t="s">
        <v>394</v>
      </c>
      <c r="G108" s="15" t="s">
        <v>4</v>
      </c>
      <c r="H108" s="15" t="s">
        <v>54</v>
      </c>
      <c r="I108" s="16"/>
    </row>
    <row r="109" spans="1:9" ht="28.3">
      <c r="A109" s="13" t="s">
        <v>395</v>
      </c>
      <c r="B109" s="14">
        <v>10</v>
      </c>
      <c r="C109" s="15" t="s">
        <v>31</v>
      </c>
      <c r="D109" s="15" t="s">
        <v>267</v>
      </c>
      <c r="E109" s="15" t="s">
        <v>396</v>
      </c>
      <c r="F109" s="15" t="s">
        <v>397</v>
      </c>
      <c r="G109" s="15" t="s">
        <v>4</v>
      </c>
      <c r="H109" s="15" t="s">
        <v>54</v>
      </c>
      <c r="I109" s="16"/>
    </row>
    <row r="110" spans="1:9">
      <c r="A110" s="13" t="s">
        <v>398</v>
      </c>
      <c r="B110" s="14">
        <v>10</v>
      </c>
      <c r="C110" s="15" t="s">
        <v>31</v>
      </c>
      <c r="D110" s="15" t="s">
        <v>59</v>
      </c>
      <c r="E110" s="15" t="s">
        <v>399</v>
      </c>
      <c r="F110" s="15" t="s">
        <v>400</v>
      </c>
      <c r="G110" s="15" t="s">
        <v>4</v>
      </c>
      <c r="H110" s="15" t="s">
        <v>54</v>
      </c>
      <c r="I110" s="16"/>
    </row>
    <row r="111" spans="1:9">
      <c r="A111" s="13" t="s">
        <v>401</v>
      </c>
      <c r="B111" s="14">
        <v>10</v>
      </c>
      <c r="C111" s="15" t="s">
        <v>31</v>
      </c>
      <c r="D111" s="15" t="s">
        <v>59</v>
      </c>
      <c r="E111" s="15" t="s">
        <v>402</v>
      </c>
      <c r="F111" s="15" t="s">
        <v>403</v>
      </c>
      <c r="G111" s="15" t="s">
        <v>4</v>
      </c>
      <c r="H111" s="15" t="s">
        <v>54</v>
      </c>
      <c r="I111" s="16"/>
    </row>
    <row r="112" spans="1:9">
      <c r="A112" s="13" t="s">
        <v>404</v>
      </c>
      <c r="B112" s="14">
        <v>10</v>
      </c>
      <c r="C112" s="15" t="s">
        <v>31</v>
      </c>
      <c r="D112" s="15" t="s">
        <v>135</v>
      </c>
      <c r="E112" s="15" t="s">
        <v>405</v>
      </c>
      <c r="F112" s="15" t="s">
        <v>406</v>
      </c>
      <c r="G112" s="15" t="s">
        <v>4</v>
      </c>
      <c r="H112" s="15" t="s">
        <v>54</v>
      </c>
      <c r="I112" s="16"/>
    </row>
    <row r="113" spans="1:9">
      <c r="A113" s="13" t="s">
        <v>407</v>
      </c>
      <c r="B113" s="14">
        <v>10</v>
      </c>
      <c r="C113" s="15" t="s">
        <v>31</v>
      </c>
      <c r="D113" s="15" t="s">
        <v>117</v>
      </c>
      <c r="E113" s="15" t="s">
        <v>408</v>
      </c>
      <c r="F113" s="15" t="s">
        <v>409</v>
      </c>
      <c r="G113" s="15" t="s">
        <v>4</v>
      </c>
      <c r="H113" s="15" t="s">
        <v>54</v>
      </c>
      <c r="I113" s="16"/>
    </row>
    <row r="114" spans="1:9">
      <c r="A114" s="13" t="s">
        <v>410</v>
      </c>
      <c r="B114" s="14">
        <v>10</v>
      </c>
      <c r="C114" s="15" t="s">
        <v>31</v>
      </c>
      <c r="D114" s="15" t="s">
        <v>128</v>
      </c>
      <c r="E114" s="15" t="s">
        <v>411</v>
      </c>
      <c r="F114" s="15" t="s">
        <v>291</v>
      </c>
      <c r="G114" s="15" t="s">
        <v>4</v>
      </c>
      <c r="H114" s="15" t="s">
        <v>54</v>
      </c>
      <c r="I114" s="16"/>
    </row>
    <row r="115" spans="1:9">
      <c r="A115" s="13" t="s">
        <v>412</v>
      </c>
      <c r="B115" s="14">
        <v>10</v>
      </c>
      <c r="C115" s="15" t="s">
        <v>31</v>
      </c>
      <c r="D115" s="15" t="s">
        <v>293</v>
      </c>
      <c r="E115" s="15" t="s">
        <v>413</v>
      </c>
      <c r="F115" s="15" t="s">
        <v>414</v>
      </c>
      <c r="G115" s="15" t="s">
        <v>4</v>
      </c>
      <c r="H115" s="15" t="s">
        <v>54</v>
      </c>
      <c r="I115" s="16"/>
    </row>
    <row r="116" spans="1:9">
      <c r="A116" s="13" t="s">
        <v>415</v>
      </c>
      <c r="B116" s="14">
        <v>10</v>
      </c>
      <c r="C116" s="15" t="s">
        <v>31</v>
      </c>
      <c r="D116" s="15" t="s">
        <v>121</v>
      </c>
      <c r="E116" s="15" t="s">
        <v>416</v>
      </c>
      <c r="F116" s="15" t="s">
        <v>417</v>
      </c>
      <c r="G116" s="15" t="s">
        <v>4</v>
      </c>
      <c r="H116" s="15" t="s">
        <v>69</v>
      </c>
      <c r="I116" s="16"/>
    </row>
    <row r="117" spans="1:9" ht="28.3">
      <c r="A117" s="13" t="s">
        <v>418</v>
      </c>
      <c r="B117" s="14">
        <v>10</v>
      </c>
      <c r="C117" s="15" t="s">
        <v>31</v>
      </c>
      <c r="D117" s="15" t="s">
        <v>419</v>
      </c>
      <c r="E117" s="15" t="s">
        <v>420</v>
      </c>
      <c r="F117" s="15" t="s">
        <v>421</v>
      </c>
      <c r="G117" s="15" t="s">
        <v>4</v>
      </c>
      <c r="H117" s="15" t="s">
        <v>69</v>
      </c>
      <c r="I117" s="16"/>
    </row>
    <row r="118" spans="1:9">
      <c r="A118" s="13" t="s">
        <v>422</v>
      </c>
      <c r="B118" s="14">
        <v>10</v>
      </c>
      <c r="C118" s="15" t="s">
        <v>31</v>
      </c>
      <c r="D118" s="15" t="s">
        <v>71</v>
      </c>
      <c r="E118" s="15" t="s">
        <v>423</v>
      </c>
      <c r="F118" s="15" t="s">
        <v>424</v>
      </c>
      <c r="G118" s="15" t="s">
        <v>4</v>
      </c>
      <c r="H118" s="15" t="s">
        <v>54</v>
      </c>
      <c r="I118" s="16"/>
    </row>
    <row r="119" spans="1:9" ht="28.3">
      <c r="A119" s="13" t="s">
        <v>425</v>
      </c>
      <c r="B119" s="14">
        <v>11</v>
      </c>
      <c r="C119" s="15" t="s">
        <v>33</v>
      </c>
      <c r="D119" s="15" t="s">
        <v>102</v>
      </c>
      <c r="E119" s="15" t="s">
        <v>426</v>
      </c>
      <c r="F119" s="15" t="s">
        <v>427</v>
      </c>
      <c r="G119" s="15" t="s">
        <v>4</v>
      </c>
      <c r="H119" s="15" t="s">
        <v>54</v>
      </c>
      <c r="I119" s="16"/>
    </row>
    <row r="120" spans="1:9" ht="28.3">
      <c r="A120" s="13" t="s">
        <v>428</v>
      </c>
      <c r="B120" s="14">
        <v>11</v>
      </c>
      <c r="C120" s="15" t="s">
        <v>33</v>
      </c>
      <c r="D120" s="15" t="s">
        <v>145</v>
      </c>
      <c r="E120" s="15" t="s">
        <v>429</v>
      </c>
      <c r="F120" s="15" t="s">
        <v>430</v>
      </c>
      <c r="G120" s="15" t="s">
        <v>4</v>
      </c>
      <c r="H120" s="15" t="s">
        <v>54</v>
      </c>
      <c r="I120" s="16"/>
    </row>
    <row r="121" spans="1:9" ht="28.3">
      <c r="A121" s="13" t="s">
        <v>431</v>
      </c>
      <c r="B121" s="14">
        <v>11</v>
      </c>
      <c r="C121" s="15" t="s">
        <v>33</v>
      </c>
      <c r="D121" s="15" t="s">
        <v>113</v>
      </c>
      <c r="E121" s="15" t="s">
        <v>432</v>
      </c>
      <c r="F121" s="15" t="s">
        <v>433</v>
      </c>
      <c r="G121" s="15" t="s">
        <v>4</v>
      </c>
      <c r="H121" s="15" t="s">
        <v>54</v>
      </c>
      <c r="I121" s="16"/>
    </row>
    <row r="122" spans="1:9">
      <c r="A122" s="13" t="s">
        <v>434</v>
      </c>
      <c r="B122" s="14">
        <v>11</v>
      </c>
      <c r="C122" s="15" t="s">
        <v>33</v>
      </c>
      <c r="D122" s="15" t="s">
        <v>148</v>
      </c>
      <c r="E122" s="15" t="s">
        <v>435</v>
      </c>
      <c r="F122" s="15" t="s">
        <v>436</v>
      </c>
      <c r="G122" s="15" t="s">
        <v>4</v>
      </c>
      <c r="H122" s="15" t="s">
        <v>54</v>
      </c>
      <c r="I122" s="16"/>
    </row>
    <row r="123" spans="1:9">
      <c r="A123" s="13" t="s">
        <v>437</v>
      </c>
      <c r="B123" s="14">
        <v>11</v>
      </c>
      <c r="C123" s="15" t="s">
        <v>33</v>
      </c>
      <c r="D123" s="15" t="s">
        <v>188</v>
      </c>
      <c r="E123" s="15" t="s">
        <v>438</v>
      </c>
      <c r="F123" s="15" t="s">
        <v>439</v>
      </c>
      <c r="G123" s="15" t="s">
        <v>4</v>
      </c>
      <c r="H123" s="15" t="s">
        <v>69</v>
      </c>
      <c r="I123" s="16"/>
    </row>
    <row r="124" spans="1:9" ht="28.3">
      <c r="A124" s="13" t="s">
        <v>440</v>
      </c>
      <c r="B124" s="14">
        <v>11</v>
      </c>
      <c r="C124" s="15" t="s">
        <v>33</v>
      </c>
      <c r="D124" s="15" t="s">
        <v>280</v>
      </c>
      <c r="E124" s="15" t="s">
        <v>441</v>
      </c>
      <c r="F124" s="15" t="s">
        <v>442</v>
      </c>
      <c r="G124" s="15" t="s">
        <v>4</v>
      </c>
      <c r="H124" s="15" t="s">
        <v>69</v>
      </c>
      <c r="I124" s="16"/>
    </row>
    <row r="125" spans="1:9">
      <c r="A125" s="13" t="s">
        <v>443</v>
      </c>
      <c r="B125" s="14">
        <v>11</v>
      </c>
      <c r="C125" s="15" t="s">
        <v>33</v>
      </c>
      <c r="D125" s="15" t="s">
        <v>121</v>
      </c>
      <c r="E125" s="15" t="s">
        <v>444</v>
      </c>
      <c r="F125" s="15" t="s">
        <v>445</v>
      </c>
      <c r="G125" s="15" t="s">
        <v>4</v>
      </c>
      <c r="H125" s="15" t="s">
        <v>54</v>
      </c>
      <c r="I125" s="16"/>
    </row>
    <row r="126" spans="1:9" ht="28.3">
      <c r="A126" s="13" t="s">
        <v>446</v>
      </c>
      <c r="B126" s="14">
        <v>11</v>
      </c>
      <c r="C126" s="15" t="s">
        <v>33</v>
      </c>
      <c r="D126" s="15" t="s">
        <v>81</v>
      </c>
      <c r="E126" s="15" t="s">
        <v>447</v>
      </c>
      <c r="F126" s="15" t="s">
        <v>448</v>
      </c>
      <c r="G126" s="15" t="s">
        <v>4</v>
      </c>
      <c r="H126" s="15" t="s">
        <v>54</v>
      </c>
      <c r="I126" s="16"/>
    </row>
    <row r="127" spans="1:9">
      <c r="A127" s="13" t="s">
        <v>449</v>
      </c>
      <c r="B127" s="14">
        <v>11</v>
      </c>
      <c r="C127" s="15" t="s">
        <v>33</v>
      </c>
      <c r="D127" s="15" t="s">
        <v>128</v>
      </c>
      <c r="E127" s="15" t="s">
        <v>450</v>
      </c>
      <c r="F127" s="15" t="s">
        <v>291</v>
      </c>
      <c r="G127" s="15" t="s">
        <v>4</v>
      </c>
      <c r="H127" s="15" t="s">
        <v>69</v>
      </c>
      <c r="I127" s="16"/>
    </row>
    <row r="128" spans="1:9">
      <c r="A128" s="13" t="s">
        <v>451</v>
      </c>
      <c r="B128" s="14">
        <v>11</v>
      </c>
      <c r="C128" s="15" t="s">
        <v>33</v>
      </c>
      <c r="D128" s="15" t="s">
        <v>71</v>
      </c>
      <c r="E128" s="15" t="s">
        <v>452</v>
      </c>
      <c r="F128" s="15" t="s">
        <v>453</v>
      </c>
      <c r="G128" s="15" t="s">
        <v>4</v>
      </c>
      <c r="H128" s="15" t="s">
        <v>54</v>
      </c>
      <c r="I128" s="16"/>
    </row>
    <row r="129" spans="1:9" ht="28.3">
      <c r="A129" s="13" t="s">
        <v>454</v>
      </c>
      <c r="B129" s="14">
        <v>12</v>
      </c>
      <c r="C129" s="15" t="s">
        <v>34</v>
      </c>
      <c r="D129" s="15" t="s">
        <v>267</v>
      </c>
      <c r="E129" s="15" t="s">
        <v>455</v>
      </c>
      <c r="F129" s="15" t="s">
        <v>456</v>
      </c>
      <c r="G129" s="15" t="s">
        <v>4</v>
      </c>
      <c r="H129" s="15" t="s">
        <v>54</v>
      </c>
      <c r="I129" s="16"/>
    </row>
    <row r="130" spans="1:9" ht="28.3">
      <c r="A130" s="13" t="s">
        <v>457</v>
      </c>
      <c r="B130" s="14">
        <v>12</v>
      </c>
      <c r="C130" s="15" t="s">
        <v>34</v>
      </c>
      <c r="D130" s="15" t="s">
        <v>458</v>
      </c>
      <c r="E130" s="15" t="s">
        <v>459</v>
      </c>
      <c r="F130" s="15" t="s">
        <v>460</v>
      </c>
      <c r="G130" s="15" t="s">
        <v>4</v>
      </c>
      <c r="H130" s="15" t="s">
        <v>54</v>
      </c>
      <c r="I130" s="16"/>
    </row>
    <row r="131" spans="1:9">
      <c r="A131" s="13" t="s">
        <v>461</v>
      </c>
      <c r="B131" s="14">
        <v>12</v>
      </c>
      <c r="C131" s="15" t="s">
        <v>34</v>
      </c>
      <c r="D131" s="15" t="s">
        <v>462</v>
      </c>
      <c r="E131" s="15" t="s">
        <v>463</v>
      </c>
      <c r="F131" s="15" t="s">
        <v>464</v>
      </c>
      <c r="G131" s="15" t="s">
        <v>4</v>
      </c>
      <c r="H131" s="15" t="s">
        <v>69</v>
      </c>
      <c r="I131" s="16"/>
    </row>
    <row r="132" spans="1:9">
      <c r="A132" s="13" t="s">
        <v>465</v>
      </c>
      <c r="B132" s="14">
        <v>12</v>
      </c>
      <c r="C132" s="15" t="s">
        <v>34</v>
      </c>
      <c r="D132" s="15" t="s">
        <v>303</v>
      </c>
      <c r="E132" s="15" t="s">
        <v>466</v>
      </c>
      <c r="F132" s="15" t="s">
        <v>467</v>
      </c>
      <c r="G132" s="15" t="s">
        <v>4</v>
      </c>
      <c r="H132" s="15" t="s">
        <v>69</v>
      </c>
      <c r="I132" s="16"/>
    </row>
    <row r="133" spans="1:9">
      <c r="A133" s="13" t="s">
        <v>468</v>
      </c>
      <c r="B133" s="14">
        <v>12</v>
      </c>
      <c r="C133" s="15" t="s">
        <v>34</v>
      </c>
      <c r="D133" s="15" t="s">
        <v>135</v>
      </c>
      <c r="E133" s="15" t="s">
        <v>469</v>
      </c>
      <c r="F133" s="15" t="s">
        <v>470</v>
      </c>
      <c r="G133" s="15" t="s">
        <v>4</v>
      </c>
      <c r="H133" s="15" t="s">
        <v>69</v>
      </c>
      <c r="I133" s="16"/>
    </row>
    <row r="134" spans="1:9">
      <c r="A134" s="13" t="s">
        <v>471</v>
      </c>
      <c r="B134" s="14">
        <v>12</v>
      </c>
      <c r="C134" s="15" t="s">
        <v>34</v>
      </c>
      <c r="D134" s="15" t="s">
        <v>472</v>
      </c>
      <c r="E134" s="15" t="s">
        <v>473</v>
      </c>
      <c r="F134" s="15" t="s">
        <v>474</v>
      </c>
      <c r="G134" s="15" t="s">
        <v>4</v>
      </c>
      <c r="H134" s="15" t="s">
        <v>69</v>
      </c>
      <c r="I134" s="16"/>
    </row>
    <row r="135" spans="1:9" ht="28.3">
      <c r="A135" s="13" t="s">
        <v>475</v>
      </c>
      <c r="B135" s="14">
        <v>12</v>
      </c>
      <c r="C135" s="15" t="s">
        <v>34</v>
      </c>
      <c r="D135" s="15" t="s">
        <v>476</v>
      </c>
      <c r="E135" s="15" t="s">
        <v>477</v>
      </c>
      <c r="F135" s="15" t="s">
        <v>478</v>
      </c>
      <c r="G135" s="15" t="s">
        <v>4</v>
      </c>
      <c r="H135" s="15" t="s">
        <v>54</v>
      </c>
      <c r="I135" s="16"/>
    </row>
    <row r="136" spans="1:9">
      <c r="A136" s="13" t="s">
        <v>479</v>
      </c>
      <c r="B136" s="14">
        <v>12</v>
      </c>
      <c r="C136" s="15" t="s">
        <v>34</v>
      </c>
      <c r="D136" s="15" t="s">
        <v>480</v>
      </c>
      <c r="E136" s="15" t="s">
        <v>481</v>
      </c>
      <c r="F136" s="15" t="s">
        <v>482</v>
      </c>
      <c r="G136" s="15" t="s">
        <v>4</v>
      </c>
      <c r="H136" s="15" t="s">
        <v>69</v>
      </c>
      <c r="I136" s="16"/>
    </row>
    <row r="137" spans="1:9" ht="28.3">
      <c r="A137" s="13" t="s">
        <v>483</v>
      </c>
      <c r="B137" s="14">
        <v>12</v>
      </c>
      <c r="C137" s="15" t="s">
        <v>34</v>
      </c>
      <c r="D137" s="15" t="s">
        <v>484</v>
      </c>
      <c r="E137" s="15" t="s">
        <v>485</v>
      </c>
      <c r="F137" s="15" t="s">
        <v>486</v>
      </c>
      <c r="G137" s="15" t="s">
        <v>4</v>
      </c>
      <c r="H137" s="15" t="s">
        <v>54</v>
      </c>
      <c r="I137" s="16"/>
    </row>
    <row r="138" spans="1:9" ht="28.3">
      <c r="A138" s="13" t="s">
        <v>487</v>
      </c>
      <c r="B138" s="14">
        <v>12</v>
      </c>
      <c r="C138" s="15" t="s">
        <v>34</v>
      </c>
      <c r="D138" s="15" t="s">
        <v>71</v>
      </c>
      <c r="E138" s="15" t="s">
        <v>488</v>
      </c>
      <c r="F138" s="15" t="s">
        <v>489</v>
      </c>
      <c r="G138" s="15" t="s">
        <v>4</v>
      </c>
      <c r="H138" s="15" t="s">
        <v>54</v>
      </c>
      <c r="I138" s="16"/>
    </row>
    <row r="139" spans="1:9" ht="28.3">
      <c r="A139" s="13" t="s">
        <v>490</v>
      </c>
      <c r="B139" s="14">
        <v>13</v>
      </c>
      <c r="C139" s="15" t="s">
        <v>35</v>
      </c>
      <c r="D139" s="15" t="s">
        <v>491</v>
      </c>
      <c r="E139" s="15" t="s">
        <v>492</v>
      </c>
      <c r="F139" s="15" t="s">
        <v>493</v>
      </c>
      <c r="G139" s="15" t="s">
        <v>4</v>
      </c>
      <c r="H139" s="15" t="s">
        <v>69</v>
      </c>
      <c r="I139" s="16"/>
    </row>
    <row r="140" spans="1:9" ht="28.3">
      <c r="A140" s="13" t="s">
        <v>494</v>
      </c>
      <c r="B140" s="14">
        <v>13</v>
      </c>
      <c r="C140" s="15" t="s">
        <v>35</v>
      </c>
      <c r="D140" s="15" t="s">
        <v>491</v>
      </c>
      <c r="E140" s="15" t="s">
        <v>495</v>
      </c>
      <c r="F140" s="15" t="s">
        <v>496</v>
      </c>
      <c r="G140" s="15" t="s">
        <v>4</v>
      </c>
      <c r="H140" s="15" t="s">
        <v>54</v>
      </c>
      <c r="I140" s="16"/>
    </row>
    <row r="141" spans="1:9" ht="28.3">
      <c r="A141" s="13" t="s">
        <v>497</v>
      </c>
      <c r="B141" s="14">
        <v>13</v>
      </c>
      <c r="C141" s="15" t="s">
        <v>35</v>
      </c>
      <c r="D141" s="15" t="s">
        <v>491</v>
      </c>
      <c r="E141" s="15" t="s">
        <v>498</v>
      </c>
      <c r="F141" s="15" t="s">
        <v>499</v>
      </c>
      <c r="G141" s="15" t="s">
        <v>4</v>
      </c>
      <c r="H141" s="15" t="s">
        <v>54</v>
      </c>
      <c r="I141" s="16"/>
    </row>
    <row r="142" spans="1:9" ht="28.3">
      <c r="A142" s="13" t="s">
        <v>500</v>
      </c>
      <c r="B142" s="14">
        <v>13</v>
      </c>
      <c r="C142" s="15" t="s">
        <v>35</v>
      </c>
      <c r="D142" s="15" t="s">
        <v>491</v>
      </c>
      <c r="E142" s="15" t="s">
        <v>501</v>
      </c>
      <c r="F142" s="15" t="s">
        <v>502</v>
      </c>
      <c r="G142" s="15" t="s">
        <v>4</v>
      </c>
      <c r="H142" s="15" t="s">
        <v>69</v>
      </c>
      <c r="I142" s="16"/>
    </row>
    <row r="143" spans="1:9">
      <c r="A143" s="13" t="s">
        <v>503</v>
      </c>
      <c r="B143" s="14">
        <v>13</v>
      </c>
      <c r="C143" s="15" t="s">
        <v>35</v>
      </c>
      <c r="D143" s="15" t="s">
        <v>491</v>
      </c>
      <c r="E143" s="15" t="s">
        <v>504</v>
      </c>
      <c r="F143" s="15" t="s">
        <v>505</v>
      </c>
      <c r="G143" s="15" t="s">
        <v>4</v>
      </c>
      <c r="H143" s="15" t="s">
        <v>69</v>
      </c>
      <c r="I143" s="16"/>
    </row>
    <row r="144" spans="1:9" ht="28.3">
      <c r="A144" s="13" t="s">
        <v>506</v>
      </c>
      <c r="B144" s="14">
        <v>13</v>
      </c>
      <c r="C144" s="15" t="s">
        <v>35</v>
      </c>
      <c r="D144" s="15" t="s">
        <v>491</v>
      </c>
      <c r="E144" s="15" t="s">
        <v>507</v>
      </c>
      <c r="F144" s="15" t="s">
        <v>508</v>
      </c>
      <c r="G144" s="15" t="s">
        <v>4</v>
      </c>
      <c r="H144" s="15" t="s">
        <v>54</v>
      </c>
      <c r="I144" s="16"/>
    </row>
    <row r="145" spans="1:9">
      <c r="A145" s="13" t="s">
        <v>509</v>
      </c>
      <c r="B145" s="14">
        <v>13</v>
      </c>
      <c r="C145" s="15" t="s">
        <v>35</v>
      </c>
      <c r="D145" s="15" t="s">
        <v>71</v>
      </c>
      <c r="E145" s="15" t="s">
        <v>510</v>
      </c>
      <c r="F145" s="15" t="s">
        <v>511</v>
      </c>
      <c r="G145" s="15" t="s">
        <v>4</v>
      </c>
      <c r="H145" s="15" t="s">
        <v>54</v>
      </c>
      <c r="I145" s="16"/>
    </row>
    <row r="146" spans="1:9">
      <c r="A146" s="13" t="s">
        <v>512</v>
      </c>
      <c r="B146" s="14">
        <v>13</v>
      </c>
      <c r="C146" s="15" t="s">
        <v>35</v>
      </c>
      <c r="D146" s="15" t="s">
        <v>117</v>
      </c>
      <c r="E146" s="15" t="s">
        <v>513</v>
      </c>
      <c r="F146" s="15" t="s">
        <v>514</v>
      </c>
      <c r="G146" s="15" t="s">
        <v>4</v>
      </c>
      <c r="H146" s="15" t="s">
        <v>69</v>
      </c>
      <c r="I146" s="16"/>
    </row>
    <row r="147" spans="1:9" ht="28.3">
      <c r="A147" s="13" t="s">
        <v>515</v>
      </c>
      <c r="B147" s="14">
        <v>13</v>
      </c>
      <c r="C147" s="15" t="s">
        <v>35</v>
      </c>
      <c r="D147" s="15" t="s">
        <v>98</v>
      </c>
      <c r="E147" s="15" t="s">
        <v>516</v>
      </c>
      <c r="F147" s="15" t="s">
        <v>517</v>
      </c>
      <c r="G147" s="15" t="s">
        <v>4</v>
      </c>
      <c r="H147" s="15" t="s">
        <v>54</v>
      </c>
      <c r="I147" s="16"/>
    </row>
    <row r="148" spans="1:9">
      <c r="A148" s="13" t="s">
        <v>518</v>
      </c>
      <c r="B148" s="14">
        <v>13</v>
      </c>
      <c r="C148" s="15" t="s">
        <v>35</v>
      </c>
      <c r="D148" s="15" t="s">
        <v>71</v>
      </c>
      <c r="E148" s="15" t="s">
        <v>519</v>
      </c>
      <c r="F148" s="15" t="s">
        <v>520</v>
      </c>
      <c r="G148" s="15" t="s">
        <v>4</v>
      </c>
      <c r="H148" s="15" t="s">
        <v>69</v>
      </c>
      <c r="I148" s="16"/>
    </row>
    <row r="149" spans="1:9">
      <c r="A149" s="13" t="s">
        <v>521</v>
      </c>
      <c r="B149" s="14">
        <v>14</v>
      </c>
      <c r="C149" s="15" t="s">
        <v>36</v>
      </c>
      <c r="D149" s="15" t="s">
        <v>522</v>
      </c>
      <c r="E149" s="15" t="s">
        <v>523</v>
      </c>
      <c r="F149" s="15" t="s">
        <v>524</v>
      </c>
      <c r="G149" s="15" t="s">
        <v>4</v>
      </c>
      <c r="H149" s="15" t="s">
        <v>69</v>
      </c>
      <c r="I149" s="16"/>
    </row>
    <row r="150" spans="1:9">
      <c r="A150" s="13" t="s">
        <v>525</v>
      </c>
      <c r="B150" s="14">
        <v>14</v>
      </c>
      <c r="C150" s="15" t="s">
        <v>36</v>
      </c>
      <c r="D150" s="15" t="s">
        <v>522</v>
      </c>
      <c r="E150" s="15" t="s">
        <v>526</v>
      </c>
      <c r="F150" s="15" t="s">
        <v>527</v>
      </c>
      <c r="G150" s="15" t="s">
        <v>4</v>
      </c>
      <c r="H150" s="15" t="s">
        <v>54</v>
      </c>
      <c r="I150" s="16"/>
    </row>
    <row r="151" spans="1:9">
      <c r="A151" s="13" t="s">
        <v>528</v>
      </c>
      <c r="B151" s="14">
        <v>14</v>
      </c>
      <c r="C151" s="15" t="s">
        <v>36</v>
      </c>
      <c r="D151" s="15" t="s">
        <v>522</v>
      </c>
      <c r="E151" s="15" t="s">
        <v>529</v>
      </c>
      <c r="F151" s="15" t="s">
        <v>530</v>
      </c>
      <c r="G151" s="15" t="s">
        <v>4</v>
      </c>
      <c r="H151" s="15" t="s">
        <v>69</v>
      </c>
      <c r="I151" s="16"/>
    </row>
    <row r="152" spans="1:9">
      <c r="A152" s="13" t="s">
        <v>531</v>
      </c>
      <c r="B152" s="14">
        <v>14</v>
      </c>
      <c r="C152" s="15" t="s">
        <v>36</v>
      </c>
      <c r="D152" s="15" t="s">
        <v>522</v>
      </c>
      <c r="E152" s="15" t="s">
        <v>532</v>
      </c>
      <c r="F152" s="15" t="s">
        <v>533</v>
      </c>
      <c r="G152" s="15" t="s">
        <v>4</v>
      </c>
      <c r="H152" s="15" t="s">
        <v>54</v>
      </c>
      <c r="I152" s="16"/>
    </row>
    <row r="153" spans="1:9">
      <c r="A153" s="13" t="s">
        <v>534</v>
      </c>
      <c r="B153" s="14">
        <v>14</v>
      </c>
      <c r="C153" s="15" t="s">
        <v>36</v>
      </c>
      <c r="D153" s="15" t="s">
        <v>522</v>
      </c>
      <c r="E153" s="15" t="s">
        <v>535</v>
      </c>
      <c r="F153" s="15" t="s">
        <v>505</v>
      </c>
      <c r="G153" s="15" t="s">
        <v>4</v>
      </c>
      <c r="H153" s="15" t="s">
        <v>69</v>
      </c>
      <c r="I153" s="16"/>
    </row>
    <row r="154" spans="1:9">
      <c r="A154" s="13" t="s">
        <v>536</v>
      </c>
      <c r="B154" s="14">
        <v>14</v>
      </c>
      <c r="C154" s="15" t="s">
        <v>36</v>
      </c>
      <c r="D154" s="15" t="s">
        <v>522</v>
      </c>
      <c r="E154" s="15" t="s">
        <v>537</v>
      </c>
      <c r="F154" s="15" t="s">
        <v>538</v>
      </c>
      <c r="G154" s="15" t="s">
        <v>4</v>
      </c>
      <c r="H154" s="15" t="s">
        <v>69</v>
      </c>
      <c r="I154" s="16"/>
    </row>
    <row r="155" spans="1:9">
      <c r="A155" s="13" t="s">
        <v>539</v>
      </c>
      <c r="B155" s="14">
        <v>14</v>
      </c>
      <c r="C155" s="15" t="s">
        <v>36</v>
      </c>
      <c r="D155" s="15" t="s">
        <v>128</v>
      </c>
      <c r="E155" s="15" t="s">
        <v>540</v>
      </c>
      <c r="F155" s="15" t="s">
        <v>541</v>
      </c>
      <c r="G155" s="15" t="s">
        <v>4</v>
      </c>
      <c r="H155" s="15" t="s">
        <v>54</v>
      </c>
      <c r="I155" s="16"/>
    </row>
    <row r="156" spans="1:9">
      <c r="A156" s="13" t="s">
        <v>542</v>
      </c>
      <c r="B156" s="14">
        <v>14</v>
      </c>
      <c r="C156" s="15" t="s">
        <v>36</v>
      </c>
      <c r="D156" s="15" t="s">
        <v>71</v>
      </c>
      <c r="E156" s="15" t="s">
        <v>543</v>
      </c>
      <c r="F156" s="15" t="s">
        <v>544</v>
      </c>
      <c r="G156" s="15" t="s">
        <v>4</v>
      </c>
      <c r="H156" s="15" t="s">
        <v>54</v>
      </c>
      <c r="I156" s="16"/>
    </row>
    <row r="157" spans="1:9">
      <c r="A157" s="13" t="s">
        <v>545</v>
      </c>
      <c r="B157" s="14">
        <v>15</v>
      </c>
      <c r="C157" s="15" t="s">
        <v>37</v>
      </c>
      <c r="D157" s="15" t="s">
        <v>546</v>
      </c>
      <c r="E157" s="15" t="s">
        <v>547</v>
      </c>
      <c r="F157" s="15" t="s">
        <v>548</v>
      </c>
      <c r="G157" s="15" t="s">
        <v>4</v>
      </c>
      <c r="H157" s="15" t="s">
        <v>69</v>
      </c>
      <c r="I157" s="16"/>
    </row>
    <row r="158" spans="1:9">
      <c r="A158" s="13" t="s">
        <v>549</v>
      </c>
      <c r="B158" s="14">
        <v>15</v>
      </c>
      <c r="C158" s="15" t="s">
        <v>37</v>
      </c>
      <c r="D158" s="15" t="s">
        <v>546</v>
      </c>
      <c r="E158" s="15" t="s">
        <v>550</v>
      </c>
      <c r="F158" s="15" t="s">
        <v>551</v>
      </c>
      <c r="G158" s="15" t="s">
        <v>4</v>
      </c>
      <c r="H158" s="15" t="s">
        <v>54</v>
      </c>
      <c r="I158" s="16"/>
    </row>
    <row r="159" spans="1:9" ht="28.3">
      <c r="A159" s="13" t="s">
        <v>552</v>
      </c>
      <c r="B159" s="14">
        <v>15</v>
      </c>
      <c r="C159" s="15" t="s">
        <v>37</v>
      </c>
      <c r="D159" s="15" t="s">
        <v>546</v>
      </c>
      <c r="E159" s="15" t="s">
        <v>553</v>
      </c>
      <c r="F159" s="15" t="s">
        <v>554</v>
      </c>
      <c r="G159" s="15" t="s">
        <v>4</v>
      </c>
      <c r="H159" s="15" t="s">
        <v>54</v>
      </c>
      <c r="I159" s="16"/>
    </row>
    <row r="160" spans="1:9" ht="28.3">
      <c r="A160" s="13" t="s">
        <v>555</v>
      </c>
      <c r="B160" s="14">
        <v>15</v>
      </c>
      <c r="C160" s="15" t="s">
        <v>37</v>
      </c>
      <c r="D160" s="15" t="s">
        <v>546</v>
      </c>
      <c r="E160" s="15" t="s">
        <v>556</v>
      </c>
      <c r="F160" s="15" t="s">
        <v>557</v>
      </c>
      <c r="G160" s="15" t="s">
        <v>4</v>
      </c>
      <c r="H160" s="15" t="s">
        <v>69</v>
      </c>
      <c r="I160" s="16"/>
    </row>
    <row r="161" spans="1:9">
      <c r="A161" s="13" t="s">
        <v>558</v>
      </c>
      <c r="B161" s="14">
        <v>15</v>
      </c>
      <c r="C161" s="15" t="s">
        <v>37</v>
      </c>
      <c r="D161" s="15" t="s">
        <v>546</v>
      </c>
      <c r="E161" s="15" t="s">
        <v>559</v>
      </c>
      <c r="F161" s="15" t="s">
        <v>560</v>
      </c>
      <c r="G161" s="15" t="s">
        <v>4</v>
      </c>
      <c r="H161" s="15" t="s">
        <v>54</v>
      </c>
      <c r="I161" s="16"/>
    </row>
    <row r="162" spans="1:9">
      <c r="A162" s="13" t="s">
        <v>561</v>
      </c>
      <c r="B162" s="14">
        <v>15</v>
      </c>
      <c r="C162" s="15" t="s">
        <v>37</v>
      </c>
      <c r="D162" s="15" t="s">
        <v>546</v>
      </c>
      <c r="E162" s="15" t="s">
        <v>562</v>
      </c>
      <c r="F162" s="15" t="s">
        <v>563</v>
      </c>
      <c r="G162" s="15" t="s">
        <v>4</v>
      </c>
      <c r="H162" s="15" t="s">
        <v>69</v>
      </c>
      <c r="I162" s="16"/>
    </row>
    <row r="163" spans="1:9">
      <c r="A163" s="13" t="s">
        <v>564</v>
      </c>
      <c r="B163" s="14">
        <v>15</v>
      </c>
      <c r="C163" s="15" t="s">
        <v>37</v>
      </c>
      <c r="D163" s="15" t="s">
        <v>117</v>
      </c>
      <c r="E163" s="15" t="s">
        <v>565</v>
      </c>
      <c r="F163" s="15" t="s">
        <v>566</v>
      </c>
      <c r="G163" s="15" t="s">
        <v>4</v>
      </c>
      <c r="H163" s="15" t="s">
        <v>69</v>
      </c>
      <c r="I163" s="16"/>
    </row>
    <row r="164" spans="1:9">
      <c r="A164" s="13" t="s">
        <v>567</v>
      </c>
      <c r="B164" s="14">
        <v>15</v>
      </c>
      <c r="C164" s="15" t="s">
        <v>37</v>
      </c>
      <c r="D164" s="15" t="s">
        <v>81</v>
      </c>
      <c r="E164" s="15" t="s">
        <v>568</v>
      </c>
      <c r="F164" s="15" t="s">
        <v>569</v>
      </c>
      <c r="G164" s="15" t="s">
        <v>4</v>
      </c>
      <c r="H164" s="15" t="s">
        <v>54</v>
      </c>
      <c r="I164" s="16"/>
    </row>
    <row r="165" spans="1:9">
      <c r="A165" s="13" t="s">
        <v>570</v>
      </c>
      <c r="B165" s="14">
        <v>15</v>
      </c>
      <c r="C165" s="15" t="s">
        <v>37</v>
      </c>
      <c r="D165" s="15" t="s">
        <v>71</v>
      </c>
      <c r="E165" s="15" t="s">
        <v>571</v>
      </c>
      <c r="F165" s="15" t="s">
        <v>572</v>
      </c>
      <c r="G165" s="15" t="s">
        <v>4</v>
      </c>
      <c r="H165" s="15" t="s">
        <v>54</v>
      </c>
      <c r="I165" s="16"/>
    </row>
    <row r="166" spans="1:9">
      <c r="A166" s="13" t="s">
        <v>573</v>
      </c>
      <c r="B166" s="14">
        <v>16</v>
      </c>
      <c r="C166" s="15" t="s">
        <v>38</v>
      </c>
      <c r="D166" s="15" t="s">
        <v>38</v>
      </c>
      <c r="E166" s="15" t="s">
        <v>574</v>
      </c>
      <c r="F166" s="15" t="s">
        <v>575</v>
      </c>
      <c r="G166" s="15" t="s">
        <v>4</v>
      </c>
      <c r="H166" s="15" t="s">
        <v>54</v>
      </c>
      <c r="I166" s="16"/>
    </row>
    <row r="167" spans="1:9">
      <c r="A167" s="13" t="s">
        <v>576</v>
      </c>
      <c r="B167" s="14">
        <v>16</v>
      </c>
      <c r="C167" s="15" t="s">
        <v>38</v>
      </c>
      <c r="D167" s="15" t="s">
        <v>38</v>
      </c>
      <c r="E167" s="15" t="s">
        <v>577</v>
      </c>
      <c r="F167" s="15" t="s">
        <v>578</v>
      </c>
      <c r="G167" s="15" t="s">
        <v>4</v>
      </c>
      <c r="H167" s="15" t="s">
        <v>54</v>
      </c>
      <c r="I167" s="16"/>
    </row>
    <row r="168" spans="1:9">
      <c r="A168" s="13" t="s">
        <v>579</v>
      </c>
      <c r="B168" s="14">
        <v>16</v>
      </c>
      <c r="C168" s="15" t="s">
        <v>38</v>
      </c>
      <c r="D168" s="15" t="s">
        <v>38</v>
      </c>
      <c r="E168" s="15" t="s">
        <v>580</v>
      </c>
      <c r="F168" s="15" t="s">
        <v>581</v>
      </c>
      <c r="G168" s="15" t="s">
        <v>4</v>
      </c>
      <c r="H168" s="15" t="s">
        <v>54</v>
      </c>
      <c r="I168" s="16"/>
    </row>
    <row r="169" spans="1:9" ht="28.3">
      <c r="A169" s="13" t="s">
        <v>582</v>
      </c>
      <c r="B169" s="14">
        <v>16</v>
      </c>
      <c r="C169" s="15" t="s">
        <v>38</v>
      </c>
      <c r="D169" s="15" t="s">
        <v>38</v>
      </c>
      <c r="E169" s="15" t="s">
        <v>583</v>
      </c>
      <c r="F169" s="15" t="s">
        <v>584</v>
      </c>
      <c r="G169" s="15" t="s">
        <v>4</v>
      </c>
      <c r="H169" s="15" t="s">
        <v>54</v>
      </c>
      <c r="I169" s="16"/>
    </row>
    <row r="170" spans="1:9" ht="28.3">
      <c r="A170" s="13" t="s">
        <v>585</v>
      </c>
      <c r="B170" s="14">
        <v>16</v>
      </c>
      <c r="C170" s="15" t="s">
        <v>38</v>
      </c>
      <c r="D170" s="15" t="s">
        <v>38</v>
      </c>
      <c r="E170" s="15" t="s">
        <v>586</v>
      </c>
      <c r="F170" s="15" t="s">
        <v>587</v>
      </c>
      <c r="G170" s="15" t="s">
        <v>4</v>
      </c>
      <c r="H170" s="15" t="s">
        <v>54</v>
      </c>
      <c r="I170" s="16"/>
    </row>
    <row r="171" spans="1:9">
      <c r="A171" s="13" t="s">
        <v>588</v>
      </c>
      <c r="B171" s="14">
        <v>16</v>
      </c>
      <c r="C171" s="15" t="s">
        <v>38</v>
      </c>
      <c r="D171" s="15" t="s">
        <v>38</v>
      </c>
      <c r="E171" s="15" t="s">
        <v>589</v>
      </c>
      <c r="F171" s="15" t="s">
        <v>590</v>
      </c>
      <c r="G171" s="15" t="s">
        <v>4</v>
      </c>
      <c r="H171" s="15" t="s">
        <v>69</v>
      </c>
      <c r="I171" s="16"/>
    </row>
    <row r="172" spans="1:9" ht="28.3">
      <c r="A172" s="13" t="s">
        <v>591</v>
      </c>
      <c r="B172" s="14">
        <v>16</v>
      </c>
      <c r="C172" s="15" t="s">
        <v>38</v>
      </c>
      <c r="D172" s="15" t="s">
        <v>38</v>
      </c>
      <c r="E172" s="15" t="s">
        <v>592</v>
      </c>
      <c r="F172" s="15" t="s">
        <v>593</v>
      </c>
      <c r="G172" s="15" t="s">
        <v>4</v>
      </c>
      <c r="H172" s="15" t="s">
        <v>54</v>
      </c>
      <c r="I172" s="16"/>
    </row>
    <row r="173" spans="1:9" ht="28.3">
      <c r="A173" s="13" t="s">
        <v>594</v>
      </c>
      <c r="B173" s="14">
        <v>16</v>
      </c>
      <c r="C173" s="15" t="s">
        <v>38</v>
      </c>
      <c r="D173" s="15" t="s">
        <v>38</v>
      </c>
      <c r="E173" s="15" t="s">
        <v>595</v>
      </c>
      <c r="F173" s="15" t="s">
        <v>596</v>
      </c>
      <c r="G173" s="15" t="s">
        <v>4</v>
      </c>
      <c r="H173" s="15" t="s">
        <v>69</v>
      </c>
      <c r="I173" s="16"/>
    </row>
    <row r="174" spans="1:9">
      <c r="A174" s="13" t="s">
        <v>597</v>
      </c>
      <c r="B174" s="14">
        <v>16</v>
      </c>
      <c r="C174" s="15" t="s">
        <v>38</v>
      </c>
      <c r="D174" s="15" t="s">
        <v>128</v>
      </c>
      <c r="E174" s="15" t="s">
        <v>598</v>
      </c>
      <c r="F174" s="15" t="s">
        <v>599</v>
      </c>
      <c r="G174" s="15" t="s">
        <v>4</v>
      </c>
      <c r="H174" s="15" t="s">
        <v>69</v>
      </c>
      <c r="I174" s="16"/>
    </row>
    <row r="175" spans="1:9">
      <c r="A175" s="13" t="s">
        <v>600</v>
      </c>
      <c r="B175" s="14">
        <v>16</v>
      </c>
      <c r="C175" s="15" t="s">
        <v>38</v>
      </c>
      <c r="D175" s="15" t="s">
        <v>71</v>
      </c>
      <c r="E175" s="15" t="s">
        <v>601</v>
      </c>
      <c r="F175" s="15" t="s">
        <v>602</v>
      </c>
      <c r="G175" s="15" t="s">
        <v>4</v>
      </c>
      <c r="H175" s="15" t="s">
        <v>54</v>
      </c>
      <c r="I175" s="16"/>
    </row>
    <row r="176" spans="1:9">
      <c r="A176" s="13" t="s">
        <v>603</v>
      </c>
      <c r="B176" s="14">
        <v>17</v>
      </c>
      <c r="C176" s="15" t="s">
        <v>39</v>
      </c>
      <c r="D176" s="15" t="s">
        <v>267</v>
      </c>
      <c r="E176" s="15" t="s">
        <v>604</v>
      </c>
      <c r="F176" s="15" t="s">
        <v>605</v>
      </c>
      <c r="G176" s="15" t="s">
        <v>4</v>
      </c>
      <c r="H176" s="15" t="s">
        <v>69</v>
      </c>
      <c r="I176" s="16"/>
    </row>
    <row r="177" spans="1:9">
      <c r="A177" s="13" t="s">
        <v>606</v>
      </c>
      <c r="B177" s="14">
        <v>17</v>
      </c>
      <c r="C177" s="15" t="s">
        <v>39</v>
      </c>
      <c r="D177" s="15" t="s">
        <v>59</v>
      </c>
      <c r="E177" s="15" t="s">
        <v>607</v>
      </c>
      <c r="F177" s="15" t="s">
        <v>608</v>
      </c>
      <c r="G177" s="15" t="s">
        <v>4</v>
      </c>
      <c r="H177" s="15" t="s">
        <v>54</v>
      </c>
      <c r="I177" s="16"/>
    </row>
    <row r="178" spans="1:9" ht="28.3">
      <c r="A178" s="13" t="s">
        <v>609</v>
      </c>
      <c r="B178" s="14">
        <v>17</v>
      </c>
      <c r="C178" s="15" t="s">
        <v>39</v>
      </c>
      <c r="D178" s="15" t="s">
        <v>209</v>
      </c>
      <c r="E178" s="15" t="s">
        <v>610</v>
      </c>
      <c r="F178" s="15" t="s">
        <v>611</v>
      </c>
      <c r="G178" s="15" t="s">
        <v>4</v>
      </c>
      <c r="H178" s="15" t="s">
        <v>54</v>
      </c>
      <c r="I178" s="16"/>
    </row>
    <row r="179" spans="1:9">
      <c r="A179" s="13" t="s">
        <v>612</v>
      </c>
      <c r="B179" s="14">
        <v>17</v>
      </c>
      <c r="C179" s="15" t="s">
        <v>39</v>
      </c>
      <c r="D179" s="15" t="s">
        <v>303</v>
      </c>
      <c r="E179" s="15" t="s">
        <v>613</v>
      </c>
      <c r="F179" s="15" t="s">
        <v>614</v>
      </c>
      <c r="G179" s="15" t="s">
        <v>4</v>
      </c>
      <c r="H179" s="15" t="s">
        <v>69</v>
      </c>
      <c r="I179" s="16"/>
    </row>
    <row r="180" spans="1:9">
      <c r="A180" s="13" t="s">
        <v>615</v>
      </c>
      <c r="B180" s="14">
        <v>17</v>
      </c>
      <c r="C180" s="15" t="s">
        <v>39</v>
      </c>
      <c r="D180" s="15" t="s">
        <v>334</v>
      </c>
      <c r="E180" s="15" t="s">
        <v>616</v>
      </c>
      <c r="F180" s="15" t="s">
        <v>617</v>
      </c>
      <c r="G180" s="15" t="s">
        <v>4</v>
      </c>
      <c r="H180" s="15" t="s">
        <v>69</v>
      </c>
      <c r="I180" s="16"/>
    </row>
    <row r="181" spans="1:9" ht="28.3">
      <c r="A181" s="13" t="s">
        <v>618</v>
      </c>
      <c r="B181" s="14">
        <v>17</v>
      </c>
      <c r="C181" s="15" t="s">
        <v>39</v>
      </c>
      <c r="D181" s="15" t="s">
        <v>619</v>
      </c>
      <c r="E181" s="15" t="s">
        <v>620</v>
      </c>
      <c r="F181" s="15" t="s">
        <v>621</v>
      </c>
      <c r="G181" s="15" t="s">
        <v>4</v>
      </c>
      <c r="H181" s="15" t="s">
        <v>54</v>
      </c>
      <c r="I181" s="16"/>
    </row>
    <row r="182" spans="1:9" ht="28.3">
      <c r="A182" s="13" t="s">
        <v>622</v>
      </c>
      <c r="B182" s="14">
        <v>17</v>
      </c>
      <c r="C182" s="15" t="s">
        <v>39</v>
      </c>
      <c r="D182" s="15" t="s">
        <v>623</v>
      </c>
      <c r="E182" s="15" t="s">
        <v>624</v>
      </c>
      <c r="F182" s="15" t="s">
        <v>625</v>
      </c>
      <c r="G182" s="15" t="s">
        <v>4</v>
      </c>
      <c r="H182" s="15" t="s">
        <v>54</v>
      </c>
      <c r="I182" s="16"/>
    </row>
    <row r="183" spans="1:9">
      <c r="A183" s="13" t="s">
        <v>626</v>
      </c>
      <c r="B183" s="14">
        <v>17</v>
      </c>
      <c r="C183" s="15" t="s">
        <v>39</v>
      </c>
      <c r="D183" s="15" t="s">
        <v>623</v>
      </c>
      <c r="E183" s="15" t="s">
        <v>627</v>
      </c>
      <c r="F183" s="15" t="s">
        <v>628</v>
      </c>
      <c r="G183" s="15" t="s">
        <v>4</v>
      </c>
      <c r="H183" s="15" t="s">
        <v>54</v>
      </c>
      <c r="I183" s="16"/>
    </row>
    <row r="184" spans="1:9" ht="28.3">
      <c r="A184" s="13" t="s">
        <v>629</v>
      </c>
      <c r="B184" s="14">
        <v>17</v>
      </c>
      <c r="C184" s="15" t="s">
        <v>39</v>
      </c>
      <c r="D184" s="15" t="s">
        <v>192</v>
      </c>
      <c r="E184" s="15" t="s">
        <v>630</v>
      </c>
      <c r="F184" s="15" t="s">
        <v>631</v>
      </c>
      <c r="G184" s="15" t="s">
        <v>4</v>
      </c>
      <c r="H184" s="15" t="s">
        <v>69</v>
      </c>
      <c r="I184" s="16"/>
    </row>
    <row r="185" spans="1:9">
      <c r="A185" s="13" t="s">
        <v>632</v>
      </c>
      <c r="B185" s="14">
        <v>17</v>
      </c>
      <c r="C185" s="15" t="s">
        <v>39</v>
      </c>
      <c r="D185" s="15" t="s">
        <v>71</v>
      </c>
      <c r="E185" s="15" t="s">
        <v>633</v>
      </c>
      <c r="F185" s="15" t="s">
        <v>634</v>
      </c>
      <c r="G185" s="15" t="s">
        <v>4</v>
      </c>
      <c r="H185" s="15" t="s">
        <v>54</v>
      </c>
      <c r="I185" s="16"/>
    </row>
    <row r="186" spans="1:9" ht="28.3">
      <c r="A186" s="13" t="s">
        <v>635</v>
      </c>
      <c r="B186" s="14">
        <v>18</v>
      </c>
      <c r="C186" s="15" t="s">
        <v>40</v>
      </c>
      <c r="D186" s="15" t="s">
        <v>102</v>
      </c>
      <c r="E186" s="15" t="s">
        <v>636</v>
      </c>
      <c r="F186" s="15" t="s">
        <v>637</v>
      </c>
      <c r="G186" s="15" t="s">
        <v>4</v>
      </c>
      <c r="H186" s="15" t="s">
        <v>54</v>
      </c>
      <c r="I186" s="16"/>
    </row>
    <row r="187" spans="1:9" ht="28.3">
      <c r="A187" s="13" t="s">
        <v>638</v>
      </c>
      <c r="B187" s="14">
        <v>18</v>
      </c>
      <c r="C187" s="15" t="s">
        <v>40</v>
      </c>
      <c r="D187" s="15" t="s">
        <v>267</v>
      </c>
      <c r="E187" s="15" t="s">
        <v>639</v>
      </c>
      <c r="F187" s="15" t="s">
        <v>640</v>
      </c>
      <c r="G187" s="15" t="s">
        <v>4</v>
      </c>
      <c r="H187" s="15" t="s">
        <v>54</v>
      </c>
      <c r="I187" s="16"/>
    </row>
    <row r="188" spans="1:9" ht="28.3">
      <c r="A188" s="13" t="s">
        <v>641</v>
      </c>
      <c r="B188" s="14">
        <v>18</v>
      </c>
      <c r="C188" s="15" t="s">
        <v>40</v>
      </c>
      <c r="D188" s="15" t="s">
        <v>135</v>
      </c>
      <c r="E188" s="15" t="s">
        <v>642</v>
      </c>
      <c r="F188" s="15" t="s">
        <v>643</v>
      </c>
      <c r="G188" s="15" t="s">
        <v>4</v>
      </c>
      <c r="H188" s="15" t="s">
        <v>54</v>
      </c>
      <c r="I188" s="16"/>
    </row>
    <row r="189" spans="1:9">
      <c r="A189" s="13" t="s">
        <v>644</v>
      </c>
      <c r="B189" s="14">
        <v>18</v>
      </c>
      <c r="C189" s="15" t="s">
        <v>40</v>
      </c>
      <c r="D189" s="15" t="s">
        <v>148</v>
      </c>
      <c r="E189" s="15" t="s">
        <v>645</v>
      </c>
      <c r="F189" s="15" t="s">
        <v>646</v>
      </c>
      <c r="G189" s="15" t="s">
        <v>4</v>
      </c>
      <c r="H189" s="15" t="s">
        <v>54</v>
      </c>
      <c r="I189" s="16"/>
    </row>
    <row r="190" spans="1:9">
      <c r="A190" s="13" t="s">
        <v>647</v>
      </c>
      <c r="B190" s="14">
        <v>18</v>
      </c>
      <c r="C190" s="15" t="s">
        <v>40</v>
      </c>
      <c r="D190" s="15" t="s">
        <v>81</v>
      </c>
      <c r="E190" s="15" t="s">
        <v>648</v>
      </c>
      <c r="F190" s="15" t="s">
        <v>649</v>
      </c>
      <c r="G190" s="15" t="s">
        <v>4</v>
      </c>
      <c r="H190" s="15" t="s">
        <v>54</v>
      </c>
      <c r="I190" s="16"/>
    </row>
    <row r="191" spans="1:9" ht="28.3">
      <c r="A191" s="13" t="s">
        <v>650</v>
      </c>
      <c r="B191" s="14">
        <v>18</v>
      </c>
      <c r="C191" s="15" t="s">
        <v>40</v>
      </c>
      <c r="D191" s="15" t="s">
        <v>117</v>
      </c>
      <c r="E191" s="15" t="s">
        <v>651</v>
      </c>
      <c r="F191" s="15" t="s">
        <v>278</v>
      </c>
      <c r="G191" s="15" t="s">
        <v>4</v>
      </c>
      <c r="H191" s="15" t="s">
        <v>54</v>
      </c>
      <c r="I191" s="16"/>
    </row>
    <row r="192" spans="1:9" ht="28.3">
      <c r="A192" s="13" t="s">
        <v>652</v>
      </c>
      <c r="B192" s="14">
        <v>18</v>
      </c>
      <c r="C192" s="15" t="s">
        <v>40</v>
      </c>
      <c r="D192" s="15" t="s">
        <v>121</v>
      </c>
      <c r="E192" s="15" t="s">
        <v>653</v>
      </c>
      <c r="F192" s="15" t="s">
        <v>654</v>
      </c>
      <c r="G192" s="15" t="s">
        <v>4</v>
      </c>
      <c r="H192" s="15" t="s">
        <v>69</v>
      </c>
      <c r="I192" s="16"/>
    </row>
    <row r="193" spans="1:9" ht="28.3">
      <c r="A193" s="13" t="s">
        <v>655</v>
      </c>
      <c r="B193" s="14">
        <v>18</v>
      </c>
      <c r="C193" s="15" t="s">
        <v>40</v>
      </c>
      <c r="D193" s="15" t="s">
        <v>128</v>
      </c>
      <c r="E193" s="15" t="s">
        <v>656</v>
      </c>
      <c r="F193" s="15" t="s">
        <v>291</v>
      </c>
      <c r="G193" s="15" t="s">
        <v>4</v>
      </c>
      <c r="H193" s="15" t="s">
        <v>54</v>
      </c>
      <c r="I193" s="16"/>
    </row>
    <row r="194" spans="1:9">
      <c r="A194" s="13" t="s">
        <v>657</v>
      </c>
      <c r="B194" s="14">
        <v>18</v>
      </c>
      <c r="C194" s="15" t="s">
        <v>40</v>
      </c>
      <c r="D194" s="15" t="s">
        <v>71</v>
      </c>
      <c r="E194" s="15" t="s">
        <v>658</v>
      </c>
      <c r="F194" s="15" t="s">
        <v>659</v>
      </c>
      <c r="G194" s="15" t="s">
        <v>4</v>
      </c>
      <c r="H194" s="15" t="s">
        <v>54</v>
      </c>
      <c r="I194" s="16"/>
    </row>
    <row r="195" spans="1:9" ht="28.3">
      <c r="A195" s="13" t="s">
        <v>660</v>
      </c>
      <c r="B195" s="14">
        <v>19</v>
      </c>
      <c r="C195" s="15" t="s">
        <v>41</v>
      </c>
      <c r="D195" s="15" t="s">
        <v>661</v>
      </c>
      <c r="E195" s="15" t="s">
        <v>662</v>
      </c>
      <c r="F195" s="15" t="s">
        <v>663</v>
      </c>
      <c r="G195" s="15" t="s">
        <v>4</v>
      </c>
      <c r="H195" s="15" t="s">
        <v>54</v>
      </c>
      <c r="I195" s="16"/>
    </row>
    <row r="196" spans="1:9" ht="28.3">
      <c r="A196" s="13" t="s">
        <v>664</v>
      </c>
      <c r="B196" s="14">
        <v>19</v>
      </c>
      <c r="C196" s="15" t="s">
        <v>41</v>
      </c>
      <c r="D196" s="15" t="s">
        <v>661</v>
      </c>
      <c r="E196" s="15" t="s">
        <v>665</v>
      </c>
      <c r="F196" s="15" t="s">
        <v>666</v>
      </c>
      <c r="G196" s="15" t="s">
        <v>4</v>
      </c>
      <c r="H196" s="15" t="s">
        <v>54</v>
      </c>
      <c r="I196" s="16"/>
    </row>
    <row r="197" spans="1:9">
      <c r="A197" s="13" t="s">
        <v>667</v>
      </c>
      <c r="B197" s="14">
        <v>19</v>
      </c>
      <c r="C197" s="15" t="s">
        <v>41</v>
      </c>
      <c r="D197" s="15" t="s">
        <v>661</v>
      </c>
      <c r="E197" s="15" t="s">
        <v>668</v>
      </c>
      <c r="F197" s="15" t="s">
        <v>669</v>
      </c>
      <c r="G197" s="15" t="s">
        <v>4</v>
      </c>
      <c r="H197" s="15" t="s">
        <v>69</v>
      </c>
      <c r="I197" s="16"/>
    </row>
    <row r="198" spans="1:9" ht="28.3">
      <c r="A198" s="13" t="s">
        <v>670</v>
      </c>
      <c r="B198" s="14">
        <v>19</v>
      </c>
      <c r="C198" s="15" t="s">
        <v>41</v>
      </c>
      <c r="D198" s="15" t="s">
        <v>661</v>
      </c>
      <c r="E198" s="15" t="s">
        <v>671</v>
      </c>
      <c r="F198" s="15" t="s">
        <v>672</v>
      </c>
      <c r="G198" s="15" t="s">
        <v>4</v>
      </c>
      <c r="H198" s="15" t="s">
        <v>54</v>
      </c>
      <c r="I198" s="16"/>
    </row>
    <row r="199" spans="1:9">
      <c r="A199" s="13" t="s">
        <v>673</v>
      </c>
      <c r="B199" s="14">
        <v>19</v>
      </c>
      <c r="C199" s="15" t="s">
        <v>41</v>
      </c>
      <c r="D199" s="15" t="s">
        <v>661</v>
      </c>
      <c r="E199" s="15" t="s">
        <v>674</v>
      </c>
      <c r="F199" s="15" t="s">
        <v>675</v>
      </c>
      <c r="G199" s="15" t="s">
        <v>4</v>
      </c>
      <c r="H199" s="15" t="s">
        <v>69</v>
      </c>
      <c r="I199" s="16"/>
    </row>
    <row r="200" spans="1:9" ht="28.3">
      <c r="A200" s="13" t="s">
        <v>676</v>
      </c>
      <c r="B200" s="14">
        <v>19</v>
      </c>
      <c r="C200" s="15" t="s">
        <v>41</v>
      </c>
      <c r="D200" s="15" t="s">
        <v>677</v>
      </c>
      <c r="E200" s="15" t="s">
        <v>678</v>
      </c>
      <c r="F200" s="15" t="s">
        <v>679</v>
      </c>
      <c r="G200" s="15" t="s">
        <v>4</v>
      </c>
      <c r="H200" s="15" t="s">
        <v>69</v>
      </c>
      <c r="I200" s="16"/>
    </row>
    <row r="201" spans="1:9" ht="28.3">
      <c r="A201" s="13" t="s">
        <v>680</v>
      </c>
      <c r="B201" s="14">
        <v>19</v>
      </c>
      <c r="C201" s="15" t="s">
        <v>41</v>
      </c>
      <c r="D201" s="15" t="s">
        <v>681</v>
      </c>
      <c r="E201" s="15" t="s">
        <v>682</v>
      </c>
      <c r="F201" s="15" t="s">
        <v>683</v>
      </c>
      <c r="G201" s="15" t="s">
        <v>4</v>
      </c>
      <c r="H201" s="15" t="s">
        <v>54</v>
      </c>
      <c r="I201" s="16"/>
    </row>
    <row r="202" spans="1:9">
      <c r="A202" s="13" t="s">
        <v>684</v>
      </c>
      <c r="B202" s="14">
        <v>19</v>
      </c>
      <c r="C202" s="15" t="s">
        <v>41</v>
      </c>
      <c r="D202" s="15" t="s">
        <v>458</v>
      </c>
      <c r="E202" s="15" t="s">
        <v>685</v>
      </c>
      <c r="F202" s="15" t="s">
        <v>686</v>
      </c>
      <c r="G202" s="15" t="s">
        <v>4</v>
      </c>
      <c r="H202" s="15" t="s">
        <v>69</v>
      </c>
      <c r="I202" s="16"/>
    </row>
    <row r="203" spans="1:9" ht="28.3">
      <c r="A203" s="13" t="s">
        <v>687</v>
      </c>
      <c r="B203" s="14">
        <v>19</v>
      </c>
      <c r="C203" s="15" t="s">
        <v>41</v>
      </c>
      <c r="D203" s="15" t="s">
        <v>688</v>
      </c>
      <c r="E203" s="15" t="s">
        <v>689</v>
      </c>
      <c r="F203" s="15" t="s">
        <v>690</v>
      </c>
      <c r="G203" s="15" t="s">
        <v>4</v>
      </c>
      <c r="H203" s="15" t="s">
        <v>69</v>
      </c>
      <c r="I203" s="16"/>
    </row>
    <row r="204" spans="1:9" ht="28.3">
      <c r="A204" s="13" t="s">
        <v>691</v>
      </c>
      <c r="B204" s="14">
        <v>19</v>
      </c>
      <c r="C204" s="15" t="s">
        <v>41</v>
      </c>
      <c r="D204" s="15" t="s">
        <v>692</v>
      </c>
      <c r="E204" s="15" t="s">
        <v>693</v>
      </c>
      <c r="F204" s="15" t="s">
        <v>694</v>
      </c>
      <c r="G204" s="15" t="s">
        <v>4</v>
      </c>
      <c r="H204" s="15" t="s">
        <v>54</v>
      </c>
      <c r="I204" s="16"/>
    </row>
    <row r="205" spans="1:9" ht="28.3">
      <c r="A205" s="13" t="s">
        <v>695</v>
      </c>
      <c r="B205" s="14">
        <v>19</v>
      </c>
      <c r="C205" s="15" t="s">
        <v>41</v>
      </c>
      <c r="D205" s="15" t="s">
        <v>71</v>
      </c>
      <c r="E205" s="15" t="s">
        <v>696</v>
      </c>
      <c r="F205" s="15" t="s">
        <v>697</v>
      </c>
      <c r="G205" s="15" t="s">
        <v>4</v>
      </c>
      <c r="H205" s="15" t="s">
        <v>54</v>
      </c>
      <c r="I205" s="16"/>
    </row>
    <row r="206" spans="1:9" ht="28.3">
      <c r="A206" s="13" t="s">
        <v>698</v>
      </c>
      <c r="B206" s="14">
        <v>20</v>
      </c>
      <c r="C206" s="15" t="s">
        <v>42</v>
      </c>
      <c r="D206" s="15" t="s">
        <v>699</v>
      </c>
      <c r="E206" s="15" t="s">
        <v>700</v>
      </c>
      <c r="F206" s="15" t="s">
        <v>701</v>
      </c>
      <c r="G206" s="15" t="s">
        <v>4</v>
      </c>
      <c r="H206" s="15" t="s">
        <v>54</v>
      </c>
      <c r="I206" s="16"/>
    </row>
    <row r="207" spans="1:9" ht="28.3">
      <c r="A207" s="13" t="s">
        <v>702</v>
      </c>
      <c r="B207" s="14">
        <v>20</v>
      </c>
      <c r="C207" s="15" t="s">
        <v>42</v>
      </c>
      <c r="D207" s="15" t="s">
        <v>699</v>
      </c>
      <c r="E207" s="15" t="s">
        <v>703</v>
      </c>
      <c r="F207" s="15" t="s">
        <v>704</v>
      </c>
      <c r="G207" s="15" t="s">
        <v>4</v>
      </c>
      <c r="H207" s="15" t="s">
        <v>54</v>
      </c>
      <c r="I207" s="16"/>
    </row>
    <row r="208" spans="1:9" ht="28.3">
      <c r="A208" s="13" t="s">
        <v>705</v>
      </c>
      <c r="B208" s="14">
        <v>20</v>
      </c>
      <c r="C208" s="15" t="s">
        <v>42</v>
      </c>
      <c r="D208" s="15" t="s">
        <v>699</v>
      </c>
      <c r="E208" s="15" t="s">
        <v>706</v>
      </c>
      <c r="F208" s="15" t="s">
        <v>707</v>
      </c>
      <c r="G208" s="15" t="s">
        <v>4</v>
      </c>
      <c r="H208" s="15" t="s">
        <v>54</v>
      </c>
      <c r="I208" s="16"/>
    </row>
    <row r="209" spans="1:9" ht="28.3">
      <c r="A209" s="13" t="s">
        <v>708</v>
      </c>
      <c r="B209" s="14">
        <v>20</v>
      </c>
      <c r="C209" s="15" t="s">
        <v>42</v>
      </c>
      <c r="D209" s="15" t="s">
        <v>699</v>
      </c>
      <c r="E209" s="15" t="s">
        <v>709</v>
      </c>
      <c r="F209" s="15" t="s">
        <v>710</v>
      </c>
      <c r="G209" s="15" t="s">
        <v>4</v>
      </c>
      <c r="H209" s="15" t="s">
        <v>54</v>
      </c>
      <c r="I209" s="16"/>
    </row>
    <row r="210" spans="1:9" ht="28.3">
      <c r="A210" s="13" t="s">
        <v>711</v>
      </c>
      <c r="B210" s="14">
        <v>20</v>
      </c>
      <c r="C210" s="15" t="s">
        <v>42</v>
      </c>
      <c r="D210" s="15" t="s">
        <v>699</v>
      </c>
      <c r="E210" s="15" t="s">
        <v>712</v>
      </c>
      <c r="F210" s="15" t="s">
        <v>713</v>
      </c>
      <c r="G210" s="15" t="s">
        <v>4</v>
      </c>
      <c r="H210" s="15" t="s">
        <v>54</v>
      </c>
      <c r="I210" s="16"/>
    </row>
    <row r="211" spans="1:9" ht="28.3">
      <c r="A211" s="13" t="s">
        <v>714</v>
      </c>
      <c r="B211" s="14">
        <v>20</v>
      </c>
      <c r="C211" s="15" t="s">
        <v>42</v>
      </c>
      <c r="D211" s="15" t="s">
        <v>699</v>
      </c>
      <c r="E211" s="15" t="s">
        <v>715</v>
      </c>
      <c r="F211" s="15" t="s">
        <v>716</v>
      </c>
      <c r="G211" s="15" t="s">
        <v>4</v>
      </c>
      <c r="H211" s="15" t="s">
        <v>54</v>
      </c>
      <c r="I211" s="16"/>
    </row>
    <row r="212" spans="1:9" ht="28.3">
      <c r="A212" s="13" t="s">
        <v>717</v>
      </c>
      <c r="B212" s="14">
        <v>20</v>
      </c>
      <c r="C212" s="15" t="s">
        <v>42</v>
      </c>
      <c r="D212" s="15" t="s">
        <v>699</v>
      </c>
      <c r="E212" s="15" t="s">
        <v>718</v>
      </c>
      <c r="F212" s="15" t="s">
        <v>719</v>
      </c>
      <c r="G212" s="15" t="s">
        <v>4</v>
      </c>
      <c r="H212" s="15" t="s">
        <v>69</v>
      </c>
      <c r="I212" s="16"/>
    </row>
    <row r="213" spans="1:9" ht="28.3">
      <c r="A213" s="13" t="s">
        <v>720</v>
      </c>
      <c r="B213" s="14">
        <v>20</v>
      </c>
      <c r="C213" s="15" t="s">
        <v>42</v>
      </c>
      <c r="D213" s="15" t="s">
        <v>699</v>
      </c>
      <c r="E213" s="15" t="s">
        <v>721</v>
      </c>
      <c r="F213" s="15" t="s">
        <v>722</v>
      </c>
      <c r="G213" s="15" t="s">
        <v>4</v>
      </c>
      <c r="H213" s="15" t="s">
        <v>69</v>
      </c>
      <c r="I213" s="16"/>
    </row>
    <row r="214" spans="1:9" ht="28.3">
      <c r="A214" s="13" t="s">
        <v>723</v>
      </c>
      <c r="B214" s="14">
        <v>20</v>
      </c>
      <c r="C214" s="15" t="s">
        <v>42</v>
      </c>
      <c r="D214" s="15" t="s">
        <v>699</v>
      </c>
      <c r="E214" s="15" t="s">
        <v>724</v>
      </c>
      <c r="F214" s="15" t="s">
        <v>725</v>
      </c>
      <c r="G214" s="15" t="s">
        <v>4</v>
      </c>
      <c r="H214" s="15" t="s">
        <v>69</v>
      </c>
      <c r="I214" s="16"/>
    </row>
    <row r="215" spans="1:9" ht="28.3">
      <c r="A215" s="13" t="s">
        <v>726</v>
      </c>
      <c r="B215" s="14">
        <v>20</v>
      </c>
      <c r="C215" s="15" t="s">
        <v>42</v>
      </c>
      <c r="D215" s="15" t="s">
        <v>699</v>
      </c>
      <c r="E215" s="15" t="s">
        <v>727</v>
      </c>
      <c r="F215" s="15" t="s">
        <v>728</v>
      </c>
      <c r="G215" s="15" t="s">
        <v>4</v>
      </c>
      <c r="H215" s="15" t="s">
        <v>54</v>
      </c>
      <c r="I215" s="16"/>
    </row>
    <row r="216" spans="1:9" ht="28.3">
      <c r="A216" s="13" t="s">
        <v>729</v>
      </c>
      <c r="B216" s="14">
        <v>20</v>
      </c>
      <c r="C216" s="15" t="s">
        <v>42</v>
      </c>
      <c r="D216" s="15" t="s">
        <v>730</v>
      </c>
      <c r="E216" s="15" t="s">
        <v>731</v>
      </c>
      <c r="F216" s="15" t="s">
        <v>732</v>
      </c>
      <c r="G216" s="15" t="s">
        <v>4</v>
      </c>
      <c r="H216" s="15" t="s">
        <v>54</v>
      </c>
      <c r="I216" s="16"/>
    </row>
    <row r="217" spans="1:9" ht="28.3">
      <c r="A217" s="13" t="s">
        <v>733</v>
      </c>
      <c r="B217" s="14">
        <v>20</v>
      </c>
      <c r="C217" s="15" t="s">
        <v>42</v>
      </c>
      <c r="D217" s="15" t="s">
        <v>734</v>
      </c>
      <c r="E217" s="15" t="s">
        <v>735</v>
      </c>
      <c r="F217" s="15" t="s">
        <v>736</v>
      </c>
      <c r="G217" s="15" t="s">
        <v>4</v>
      </c>
      <c r="H217" s="15" t="s">
        <v>54</v>
      </c>
      <c r="I217" s="16"/>
    </row>
    <row r="218" spans="1:9" ht="28.3">
      <c r="A218" s="13" t="s">
        <v>737</v>
      </c>
      <c r="B218" s="14">
        <v>20</v>
      </c>
      <c r="C218" s="15" t="s">
        <v>42</v>
      </c>
      <c r="D218" s="15" t="s">
        <v>734</v>
      </c>
      <c r="E218" s="15" t="s">
        <v>738</v>
      </c>
      <c r="F218" s="15" t="s">
        <v>739</v>
      </c>
      <c r="G218" s="15" t="s">
        <v>4</v>
      </c>
      <c r="H218" s="15" t="s">
        <v>54</v>
      </c>
      <c r="I218" s="16"/>
    </row>
    <row r="219" spans="1:9" ht="28.3">
      <c r="A219" s="13" t="s">
        <v>740</v>
      </c>
      <c r="B219" s="14">
        <v>20</v>
      </c>
      <c r="C219" s="15" t="s">
        <v>42</v>
      </c>
      <c r="D219" s="15" t="s">
        <v>734</v>
      </c>
      <c r="E219" s="15" t="s">
        <v>741</v>
      </c>
      <c r="F219" s="15" t="s">
        <v>742</v>
      </c>
      <c r="G219" s="15" t="s">
        <v>4</v>
      </c>
      <c r="H219" s="15" t="s">
        <v>54</v>
      </c>
      <c r="I219" s="16"/>
    </row>
    <row r="220" spans="1:9" ht="14.6" thickBot="1">
      <c r="A220" s="17" t="s">
        <v>743</v>
      </c>
      <c r="B220" s="18">
        <v>20</v>
      </c>
      <c r="C220" s="19" t="s">
        <v>42</v>
      </c>
      <c r="D220" s="19" t="s">
        <v>734</v>
      </c>
      <c r="E220" s="19" t="s">
        <v>744</v>
      </c>
      <c r="F220" s="19" t="s">
        <v>745</v>
      </c>
      <c r="G220" s="19" t="s">
        <v>4</v>
      </c>
      <c r="H220" s="19" t="s">
        <v>69</v>
      </c>
      <c r="I220" s="20"/>
    </row>
  </sheetData>
  <mergeCells count="1">
    <mergeCell ref="A1:I2"/>
  </mergeCells>
  <conditionalFormatting sqref="G5:G220">
    <cfRule type="expression" dxfId="3" priority="1">
      <formula>G5="Complete"</formula>
    </cfRule>
    <cfRule type="expression" dxfId="2" priority="2">
      <formula>G5="In Progress"</formula>
    </cfRule>
    <cfRule type="expression" dxfId="1" priority="3">
      <formula>G5="Blocked"</formula>
    </cfRule>
    <cfRule type="expression" dxfId="0" priority="4">
      <formula>G5="Skipped"</formula>
    </cfRule>
  </conditionalFormatting>
  <dataValidations count="2">
    <dataValidation type="list" sqref="G5:G220" xr:uid="{00000000-0002-0000-0100-000000000000}">
      <formula1>"Not Started,In Progress,Blocked,Complete,Skipped"</formula1>
    </dataValidation>
    <dataValidation type="list" sqref="H5:H220" xr:uid="{00000000-0002-0000-01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>
      <selection sqref="A1:F2"/>
    </sheetView>
  </sheetViews>
  <sheetFormatPr defaultRowHeight="14.15"/>
  <cols>
    <col min="1" max="1" width="9" customWidth="1"/>
    <col min="2" max="2" width="34" customWidth="1"/>
    <col min="3" max="3" width="48" customWidth="1"/>
    <col min="4" max="4" width="16" customWidth="1"/>
    <col min="5" max="5" width="14" customWidth="1"/>
    <col min="6" max="6" width="62" customWidth="1"/>
  </cols>
  <sheetData>
    <row r="1" spans="1:6">
      <c r="A1" s="21" t="s">
        <v>746</v>
      </c>
      <c r="B1" s="21"/>
      <c r="C1" s="21"/>
      <c r="D1" s="21"/>
      <c r="E1" s="21"/>
      <c r="F1" s="21"/>
    </row>
    <row r="2" spans="1:6">
      <c r="A2" s="21"/>
      <c r="B2" s="21"/>
      <c r="C2" s="21"/>
      <c r="D2" s="21"/>
      <c r="E2" s="21"/>
      <c r="F2" s="21"/>
    </row>
    <row r="3" spans="1:6">
      <c r="A3" s="22" t="s">
        <v>747</v>
      </c>
      <c r="B3" s="22"/>
      <c r="C3" s="22"/>
      <c r="D3" s="22"/>
      <c r="E3" s="22"/>
      <c r="F3" s="22"/>
    </row>
    <row r="5" spans="1:6">
      <c r="A5" s="6" t="s">
        <v>14</v>
      </c>
      <c r="B5" s="6" t="s">
        <v>15</v>
      </c>
      <c r="C5" s="6" t="s">
        <v>748</v>
      </c>
      <c r="D5" s="6" t="s">
        <v>749</v>
      </c>
      <c r="E5" s="6" t="s">
        <v>16</v>
      </c>
      <c r="F5" s="6" t="s">
        <v>750</v>
      </c>
    </row>
    <row r="6" spans="1:6" ht="27.45" customHeight="1">
      <c r="A6" s="7">
        <v>0</v>
      </c>
      <c r="B6" s="7" t="s">
        <v>19</v>
      </c>
      <c r="C6" s="7" t="s">
        <v>751</v>
      </c>
      <c r="D6" s="7" t="s">
        <v>752</v>
      </c>
      <c r="E6" s="7" t="s">
        <v>20</v>
      </c>
      <c r="F6" s="7" t="s">
        <v>753</v>
      </c>
    </row>
    <row r="7" spans="1:6" ht="27.45" customHeight="1">
      <c r="A7" s="7">
        <v>1</v>
      </c>
      <c r="B7" s="7" t="s">
        <v>21</v>
      </c>
      <c r="C7" s="7" t="s">
        <v>754</v>
      </c>
      <c r="D7" s="7" t="s">
        <v>755</v>
      </c>
      <c r="E7" s="7" t="s">
        <v>20</v>
      </c>
      <c r="F7" s="7" t="s">
        <v>756</v>
      </c>
    </row>
    <row r="8" spans="1:6" ht="27.45" customHeight="1">
      <c r="A8" s="7">
        <v>2</v>
      </c>
      <c r="B8" s="7" t="s">
        <v>22</v>
      </c>
      <c r="C8" s="7" t="s">
        <v>757</v>
      </c>
      <c r="D8" s="7" t="s">
        <v>758</v>
      </c>
      <c r="E8" s="7" t="s">
        <v>23</v>
      </c>
      <c r="F8" s="7" t="s">
        <v>759</v>
      </c>
    </row>
    <row r="9" spans="1:6" ht="27.45" customHeight="1">
      <c r="A9" s="7">
        <v>3</v>
      </c>
      <c r="B9" s="7" t="s">
        <v>24</v>
      </c>
      <c r="C9" s="7" t="s">
        <v>760</v>
      </c>
      <c r="D9" s="7" t="s">
        <v>761</v>
      </c>
      <c r="E9" s="7" t="s">
        <v>23</v>
      </c>
      <c r="F9" s="7" t="s">
        <v>762</v>
      </c>
    </row>
    <row r="10" spans="1:6" ht="27.45" customHeight="1">
      <c r="A10" s="7">
        <v>4</v>
      </c>
      <c r="B10" s="7" t="s">
        <v>25</v>
      </c>
      <c r="C10" s="7" t="s">
        <v>763</v>
      </c>
      <c r="D10" s="7" t="s">
        <v>764</v>
      </c>
      <c r="E10" s="7" t="s">
        <v>23</v>
      </c>
      <c r="F10" s="7" t="s">
        <v>765</v>
      </c>
    </row>
    <row r="11" spans="1:6" ht="27.45" customHeight="1">
      <c r="A11" s="7">
        <v>5</v>
      </c>
      <c r="B11" s="7" t="s">
        <v>26</v>
      </c>
      <c r="C11" s="7" t="s">
        <v>766</v>
      </c>
      <c r="D11" s="7" t="s">
        <v>767</v>
      </c>
      <c r="E11" s="7" t="s">
        <v>23</v>
      </c>
      <c r="F11" s="7" t="s">
        <v>768</v>
      </c>
    </row>
    <row r="12" spans="1:6" ht="27.45" customHeight="1">
      <c r="A12" s="7">
        <v>6</v>
      </c>
      <c r="B12" s="7" t="s">
        <v>27</v>
      </c>
      <c r="C12" s="7" t="s">
        <v>769</v>
      </c>
      <c r="D12" s="7" t="s">
        <v>770</v>
      </c>
      <c r="E12" s="7" t="s">
        <v>23</v>
      </c>
      <c r="F12" s="7" t="s">
        <v>771</v>
      </c>
    </row>
    <row r="13" spans="1:6" ht="27.45" customHeight="1">
      <c r="A13" s="7">
        <v>7</v>
      </c>
      <c r="B13" s="7" t="s">
        <v>28</v>
      </c>
      <c r="C13" s="7" t="s">
        <v>772</v>
      </c>
      <c r="D13" s="7" t="s">
        <v>773</v>
      </c>
      <c r="E13" s="7" t="s">
        <v>23</v>
      </c>
      <c r="F13" s="7" t="s">
        <v>774</v>
      </c>
    </row>
    <row r="14" spans="1:6" ht="27.45" customHeight="1">
      <c r="A14" s="7">
        <v>8</v>
      </c>
      <c r="B14" s="7" t="s">
        <v>29</v>
      </c>
      <c r="C14" s="7" t="s">
        <v>775</v>
      </c>
      <c r="D14" s="7" t="s">
        <v>776</v>
      </c>
      <c r="E14" s="7" t="s">
        <v>23</v>
      </c>
      <c r="F14" s="7" t="s">
        <v>777</v>
      </c>
    </row>
    <row r="15" spans="1:6" ht="27.45" customHeight="1">
      <c r="A15" s="7">
        <v>9</v>
      </c>
      <c r="B15" s="7" t="s">
        <v>30</v>
      </c>
      <c r="C15" s="7" t="s">
        <v>778</v>
      </c>
      <c r="D15" s="7" t="s">
        <v>779</v>
      </c>
      <c r="E15" s="7" t="s">
        <v>23</v>
      </c>
      <c r="F15" s="7" t="s">
        <v>780</v>
      </c>
    </row>
    <row r="16" spans="1:6" ht="27.45" customHeight="1">
      <c r="A16" s="7">
        <v>10</v>
      </c>
      <c r="B16" s="7" t="s">
        <v>31</v>
      </c>
      <c r="C16" s="7" t="s">
        <v>781</v>
      </c>
      <c r="D16" s="7" t="s">
        <v>782</v>
      </c>
      <c r="E16" s="7" t="s">
        <v>32</v>
      </c>
      <c r="F16" s="7" t="s">
        <v>783</v>
      </c>
    </row>
    <row r="17" spans="1:6" ht="27.45" customHeight="1">
      <c r="A17" s="7">
        <v>11</v>
      </c>
      <c r="B17" s="7" t="s">
        <v>33</v>
      </c>
      <c r="C17" s="7" t="s">
        <v>784</v>
      </c>
      <c r="D17" s="7" t="s">
        <v>785</v>
      </c>
      <c r="E17" s="7" t="s">
        <v>32</v>
      </c>
      <c r="F17" s="7" t="s">
        <v>786</v>
      </c>
    </row>
    <row r="18" spans="1:6" ht="27.45" customHeight="1">
      <c r="A18" s="7">
        <v>12</v>
      </c>
      <c r="B18" s="7" t="s">
        <v>34</v>
      </c>
      <c r="C18" s="7" t="s">
        <v>787</v>
      </c>
      <c r="D18" s="7" t="s">
        <v>788</v>
      </c>
      <c r="E18" s="7" t="s">
        <v>23</v>
      </c>
      <c r="F18" s="7" t="s">
        <v>789</v>
      </c>
    </row>
    <row r="19" spans="1:6" ht="27.45" customHeight="1">
      <c r="A19" s="7">
        <v>13</v>
      </c>
      <c r="B19" s="7" t="s">
        <v>35</v>
      </c>
      <c r="C19" s="7" t="s">
        <v>790</v>
      </c>
      <c r="D19" s="7" t="s">
        <v>791</v>
      </c>
      <c r="E19" s="7" t="s">
        <v>23</v>
      </c>
      <c r="F19" s="7" t="s">
        <v>792</v>
      </c>
    </row>
    <row r="20" spans="1:6" ht="27.45" customHeight="1">
      <c r="A20" s="7">
        <v>14</v>
      </c>
      <c r="B20" s="7" t="s">
        <v>36</v>
      </c>
      <c r="C20" s="7" t="s">
        <v>793</v>
      </c>
      <c r="D20" s="7" t="s">
        <v>794</v>
      </c>
      <c r="E20" s="7" t="s">
        <v>23</v>
      </c>
      <c r="F20" s="7" t="s">
        <v>795</v>
      </c>
    </row>
    <row r="21" spans="1:6" ht="27.45" customHeight="1">
      <c r="A21" s="7">
        <v>15</v>
      </c>
      <c r="B21" s="7" t="s">
        <v>37</v>
      </c>
      <c r="C21" s="7" t="s">
        <v>796</v>
      </c>
      <c r="D21" s="7" t="s">
        <v>797</v>
      </c>
      <c r="E21" s="7" t="s">
        <v>23</v>
      </c>
      <c r="F21" s="7" t="s">
        <v>798</v>
      </c>
    </row>
    <row r="22" spans="1:6" ht="27.45" customHeight="1">
      <c r="A22" s="7">
        <v>16</v>
      </c>
      <c r="B22" s="7" t="s">
        <v>38</v>
      </c>
      <c r="C22" s="7" t="s">
        <v>799</v>
      </c>
      <c r="D22" s="7" t="s">
        <v>800</v>
      </c>
      <c r="E22" s="7" t="s">
        <v>32</v>
      </c>
      <c r="F22" s="7" t="s">
        <v>801</v>
      </c>
    </row>
    <row r="23" spans="1:6" ht="27.45" customHeight="1">
      <c r="A23" s="7">
        <v>17</v>
      </c>
      <c r="B23" s="7" t="s">
        <v>39</v>
      </c>
      <c r="C23" s="7" t="s">
        <v>802</v>
      </c>
      <c r="D23" s="7" t="s">
        <v>803</v>
      </c>
      <c r="E23" s="7" t="s">
        <v>23</v>
      </c>
      <c r="F23" s="7" t="s">
        <v>804</v>
      </c>
    </row>
    <row r="24" spans="1:6" ht="27.45" customHeight="1">
      <c r="A24" s="7">
        <v>18</v>
      </c>
      <c r="B24" s="7" t="s">
        <v>40</v>
      </c>
      <c r="C24" s="7" t="s">
        <v>805</v>
      </c>
      <c r="D24" s="7" t="s">
        <v>806</v>
      </c>
      <c r="E24" s="7" t="s">
        <v>32</v>
      </c>
      <c r="F24" s="7" t="s">
        <v>807</v>
      </c>
    </row>
    <row r="25" spans="1:6" ht="27.45" customHeight="1">
      <c r="A25" s="7">
        <v>19</v>
      </c>
      <c r="B25" s="7" t="s">
        <v>41</v>
      </c>
      <c r="C25" s="7" t="s">
        <v>808</v>
      </c>
      <c r="D25" s="7" t="s">
        <v>809</v>
      </c>
      <c r="E25" s="7" t="s">
        <v>32</v>
      </c>
      <c r="F25" s="7" t="s">
        <v>810</v>
      </c>
    </row>
    <row r="26" spans="1:6" ht="27.45" customHeight="1">
      <c r="A26" s="7">
        <v>20</v>
      </c>
      <c r="B26" s="7" t="s">
        <v>42</v>
      </c>
      <c r="C26" s="7" t="s">
        <v>811</v>
      </c>
      <c r="D26" s="7" t="s">
        <v>812</v>
      </c>
      <c r="E26" s="7" t="s">
        <v>32</v>
      </c>
      <c r="F26" s="7" t="s">
        <v>813</v>
      </c>
    </row>
  </sheetData>
  <mergeCells count="2">
    <mergeCell ref="A1:F2"/>
    <mergeCell ref="A3:F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C77F-1040-427D-85E0-68DB34F28C07}">
  <dimension ref="A1:C18"/>
  <sheetViews>
    <sheetView workbookViewId="0">
      <selection activeCell="C14" sqref="C14"/>
    </sheetView>
  </sheetViews>
  <sheetFormatPr defaultRowHeight="14.15"/>
  <cols>
    <col min="1" max="1" width="16" customWidth="1"/>
    <col min="2" max="2" width="23.85546875" bestFit="1" customWidth="1"/>
    <col min="3" max="3" width="12.5703125" bestFit="1" customWidth="1"/>
  </cols>
  <sheetData>
    <row r="1" spans="1:3">
      <c r="A1" s="6" t="s">
        <v>476</v>
      </c>
      <c r="B1" s="6" t="s">
        <v>815</v>
      </c>
      <c r="C1" s="6" t="s">
        <v>816</v>
      </c>
    </row>
    <row r="2" spans="1:3">
      <c r="A2" t="s">
        <v>817</v>
      </c>
      <c r="B2" t="s">
        <v>818</v>
      </c>
      <c r="C2" t="s">
        <v>819</v>
      </c>
    </row>
    <row r="3" spans="1:3">
      <c r="A3" t="s">
        <v>820</v>
      </c>
      <c r="B3" t="s">
        <v>821</v>
      </c>
      <c r="C3" t="s">
        <v>822</v>
      </c>
    </row>
    <row r="4" spans="1:3">
      <c r="A4" t="s">
        <v>823</v>
      </c>
      <c r="B4" t="s">
        <v>824</v>
      </c>
      <c r="C4" t="s">
        <v>825</v>
      </c>
    </row>
    <row r="5" spans="1:3">
      <c r="A5" t="s">
        <v>814</v>
      </c>
      <c r="B5" t="s">
        <v>826</v>
      </c>
      <c r="C5" t="s">
        <v>827</v>
      </c>
    </row>
    <row r="6" spans="1:3">
      <c r="A6" t="s">
        <v>458</v>
      </c>
      <c r="B6" t="s">
        <v>828</v>
      </c>
      <c r="C6" t="s">
        <v>829</v>
      </c>
    </row>
    <row r="7" spans="1:3">
      <c r="A7" t="s">
        <v>81</v>
      </c>
      <c r="B7" t="s">
        <v>830</v>
      </c>
      <c r="C7" t="s">
        <v>831</v>
      </c>
    </row>
    <row r="8" spans="1:3">
      <c r="A8" t="s">
        <v>472</v>
      </c>
      <c r="B8" t="s">
        <v>832</v>
      </c>
      <c r="C8" t="s">
        <v>833</v>
      </c>
    </row>
    <row r="11" spans="1:3">
      <c r="A11" s="6" t="s">
        <v>834</v>
      </c>
      <c r="B11" s="6" t="s">
        <v>835</v>
      </c>
    </row>
    <row r="12" spans="1:3">
      <c r="A12" t="s">
        <v>836</v>
      </c>
      <c r="B12" t="s">
        <v>837</v>
      </c>
    </row>
    <row r="13" spans="1:3">
      <c r="A13" t="s">
        <v>838</v>
      </c>
      <c r="B13" t="s">
        <v>839</v>
      </c>
    </row>
    <row r="14" spans="1:3">
      <c r="A14" t="s">
        <v>840</v>
      </c>
      <c r="B14" t="s">
        <v>841</v>
      </c>
    </row>
    <row r="15" spans="1:3">
      <c r="A15" t="s">
        <v>842</v>
      </c>
      <c r="B15" t="s">
        <v>843</v>
      </c>
    </row>
    <row r="16" spans="1:3">
      <c r="A16" t="s">
        <v>844</v>
      </c>
      <c r="B16" t="s">
        <v>845</v>
      </c>
    </row>
    <row r="17" spans="1:2">
      <c r="A17" t="s">
        <v>846</v>
      </c>
      <c r="B17" t="s">
        <v>847</v>
      </c>
    </row>
    <row r="18" spans="1:2">
      <c r="A18" t="s">
        <v>848</v>
      </c>
      <c r="B18" t="s">
        <v>849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Project Checklist</vt:lpstr>
      <vt:lpstr>Phase Guide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Garza</dc:creator>
  <cp:lastModifiedBy>Josh Garza</cp:lastModifiedBy>
  <dcterms:created xsi:type="dcterms:W3CDTF">2026-09-15T19:00:05Z</dcterms:created>
  <dcterms:modified xsi:type="dcterms:W3CDTF">2026-09-18T00:34:31Z</dcterms:modified>
</cp:coreProperties>
</file>